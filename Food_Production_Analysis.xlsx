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Data" sheetId="1" state="visible" r:id="rId3"/>
    <sheet name="Calculations" sheetId="2" state="visible" r:id="rId4"/>
    <sheet name="Dashboard" sheetId="3" state="visible" r:id="rId5"/>
  </sheets>
  <definedNames>
    <definedName function="false" hidden="false" localSheetId="2" name="_xlnm.Print_Area" vbProcedure="false">Dashboard!$A$1:$N$67</definedName>
    <definedName function="false" hidden="true" localSheetId="0" name="_xlnm._FilterDatabase" vbProcedure="false">'Raw Data'!$A$1:$Q$369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<sst xmlns="http://schemas.openxmlformats.org/spreadsheetml/2006/main" count="2434" uniqueCount="499">
  <si>
    <t xml:space="preserve">Date</t>
  </si>
  <si>
    <t xml:space="preserve">Batch ID</t>
  </si>
  <si>
    <t xml:space="preserve">Shift</t>
  </si>
  <si>
    <t xml:space="preserve">Line</t>
  </si>
  <si>
    <t xml:space="preserve">Product</t>
  </si>
  <si>
    <t xml:space="preserve">Planned Qty (kg)</t>
  </si>
  <si>
    <t xml:space="preserve">Produced Qty (kg)</t>
  </si>
  <si>
    <t xml:space="preserve">Rejected Qty (kg)</t>
  </si>
  <si>
    <t xml:space="preserve">Planned Time (min)</t>
  </si>
  <si>
    <t xml:space="preserve">Downtime (min)</t>
  </si>
  <si>
    <t xml:space="preserve">Ideal Rate (kg/min)</t>
  </si>
  <si>
    <t xml:space="preserve">Raw Material Input (kg)</t>
  </si>
  <si>
    <t xml:space="preserve">Energy (kWh)</t>
  </si>
  <si>
    <t xml:space="preserve">Labor Hours</t>
  </si>
  <si>
    <t xml:space="preserve">Raw Material Cost ($/kg)</t>
  </si>
  <si>
    <t xml:space="preserve">Downtime Reason</t>
  </si>
  <si>
    <t xml:space="preserve">Micro Test</t>
  </si>
  <si>
    <t xml:space="preserve">B260701-0001</t>
  </si>
  <si>
    <t xml:space="preserve">A</t>
  </si>
  <si>
    <t xml:space="preserve">Bakery</t>
  </si>
  <si>
    <t xml:space="preserve">Bread</t>
  </si>
  <si>
    <t xml:space="preserve">Changeover</t>
  </si>
  <si>
    <t xml:space="preserve">Pass</t>
  </si>
  <si>
    <t xml:space="preserve">B260701-0002</t>
  </si>
  <si>
    <t xml:space="preserve">B</t>
  </si>
  <si>
    <t xml:space="preserve">Dairy</t>
  </si>
  <si>
    <t xml:space="preserve">Cheese</t>
  </si>
  <si>
    <t xml:space="preserve">Cleaning / CIP</t>
  </si>
  <si>
    <t xml:space="preserve">B260701-0003</t>
  </si>
  <si>
    <t xml:space="preserve">C</t>
  </si>
  <si>
    <t xml:space="preserve">Beverage</t>
  </si>
  <si>
    <t xml:space="preserve">Juice</t>
  </si>
  <si>
    <t xml:space="preserve">None</t>
  </si>
  <si>
    <t xml:space="preserve">B260701-0004</t>
  </si>
  <si>
    <t xml:space="preserve">Frozen</t>
  </si>
  <si>
    <t xml:space="preserve">Frozen Pizza</t>
  </si>
  <si>
    <t xml:space="preserve">B260702-0005</t>
  </si>
  <si>
    <t xml:space="preserve">Cookies</t>
  </si>
  <si>
    <t xml:space="preserve">Quality hold</t>
  </si>
  <si>
    <t xml:space="preserve">B260702-0006</t>
  </si>
  <si>
    <t xml:space="preserve">Yogurt</t>
  </si>
  <si>
    <t xml:space="preserve">B260702-0007</t>
  </si>
  <si>
    <t xml:space="preserve">Soda</t>
  </si>
  <si>
    <t xml:space="preserve">B260702-0008</t>
  </si>
  <si>
    <t xml:space="preserve">Ice Cream</t>
  </si>
  <si>
    <t xml:space="preserve">B260703-0009</t>
  </si>
  <si>
    <t xml:space="preserve">B260703-0010</t>
  </si>
  <si>
    <t xml:space="preserve">B260703-0011</t>
  </si>
  <si>
    <t xml:space="preserve">B260703-0012</t>
  </si>
  <si>
    <t xml:space="preserve">B260704-0013</t>
  </si>
  <si>
    <t xml:space="preserve">Equipment failure</t>
  </si>
  <si>
    <t xml:space="preserve">B260704-0014</t>
  </si>
  <si>
    <t xml:space="preserve">B260704-0015</t>
  </si>
  <si>
    <t xml:space="preserve">B260704-0016</t>
  </si>
  <si>
    <t xml:space="preserve">B260705-0017</t>
  </si>
  <si>
    <t xml:space="preserve">Material shortage</t>
  </si>
  <si>
    <t xml:space="preserve">B260705-0018</t>
  </si>
  <si>
    <t xml:space="preserve">B260705-0019</t>
  </si>
  <si>
    <t xml:space="preserve">B260705-0020</t>
  </si>
  <si>
    <t xml:space="preserve">B260706-0021</t>
  </si>
  <si>
    <t xml:space="preserve">B260706-0022</t>
  </si>
  <si>
    <t xml:space="preserve">B260706-0023</t>
  </si>
  <si>
    <t xml:space="preserve">B260706-0024</t>
  </si>
  <si>
    <t xml:space="preserve">B260707-0025</t>
  </si>
  <si>
    <t xml:space="preserve">B260707-0026</t>
  </si>
  <si>
    <t xml:space="preserve">Other</t>
  </si>
  <si>
    <t xml:space="preserve">B260707-0027</t>
  </si>
  <si>
    <t xml:space="preserve">B260707-0028</t>
  </si>
  <si>
    <t xml:space="preserve">B260708-0029</t>
  </si>
  <si>
    <t xml:space="preserve">Planned maintenance</t>
  </si>
  <si>
    <t xml:space="preserve">B260708-0030</t>
  </si>
  <si>
    <t xml:space="preserve">B260708-0031</t>
  </si>
  <si>
    <t xml:space="preserve">B260708-0032</t>
  </si>
  <si>
    <t xml:space="preserve">B260709-0033</t>
  </si>
  <si>
    <t xml:space="preserve">B260709-0034</t>
  </si>
  <si>
    <t xml:space="preserve">B260709-0035</t>
  </si>
  <si>
    <t xml:space="preserve">B260709-0036</t>
  </si>
  <si>
    <t xml:space="preserve">B260710-0037</t>
  </si>
  <si>
    <t xml:space="preserve">B260710-0038</t>
  </si>
  <si>
    <t xml:space="preserve">B260710-0039</t>
  </si>
  <si>
    <t xml:space="preserve">B260710-0040</t>
  </si>
  <si>
    <t xml:space="preserve">B260711-0041</t>
  </si>
  <si>
    <t xml:space="preserve">B260711-0042</t>
  </si>
  <si>
    <t xml:space="preserve">B260711-0043</t>
  </si>
  <si>
    <t xml:space="preserve">B260711-0044</t>
  </si>
  <si>
    <t xml:space="preserve">B260712-0045</t>
  </si>
  <si>
    <t xml:space="preserve">B260712-0046</t>
  </si>
  <si>
    <t xml:space="preserve">B260712-0047</t>
  </si>
  <si>
    <t xml:space="preserve">B260712-0048</t>
  </si>
  <si>
    <t xml:space="preserve">B260713-0049</t>
  </si>
  <si>
    <t xml:space="preserve">B260713-0050</t>
  </si>
  <si>
    <t xml:space="preserve">B260713-0051</t>
  </si>
  <si>
    <t xml:space="preserve">B260713-0052</t>
  </si>
  <si>
    <t xml:space="preserve">B260714-0053</t>
  </si>
  <si>
    <t xml:space="preserve">B260714-0054</t>
  </si>
  <si>
    <t xml:space="preserve">B260714-0055</t>
  </si>
  <si>
    <t xml:space="preserve">B260714-0056</t>
  </si>
  <si>
    <t xml:space="preserve">B260715-0057</t>
  </si>
  <si>
    <t xml:space="preserve">B260715-0058</t>
  </si>
  <si>
    <t xml:space="preserve">Fail</t>
  </si>
  <si>
    <t xml:space="preserve">B260715-0059</t>
  </si>
  <si>
    <t xml:space="preserve">B260715-0060</t>
  </si>
  <si>
    <t xml:space="preserve">B260716-0061</t>
  </si>
  <si>
    <t xml:space="preserve">B260716-0062</t>
  </si>
  <si>
    <t xml:space="preserve">B260716-0063</t>
  </si>
  <si>
    <t xml:space="preserve">B260716-0064</t>
  </si>
  <si>
    <t xml:space="preserve">B260717-0065</t>
  </si>
  <si>
    <t xml:space="preserve">B260717-0066</t>
  </si>
  <si>
    <t xml:space="preserve">B260717-0067</t>
  </si>
  <si>
    <t xml:space="preserve">B260717-0068</t>
  </si>
  <si>
    <t xml:space="preserve">B260718-0069</t>
  </si>
  <si>
    <t xml:space="preserve">B260718-0070</t>
  </si>
  <si>
    <t xml:space="preserve">B260718-0071</t>
  </si>
  <si>
    <t xml:space="preserve">B260718-0072</t>
  </si>
  <si>
    <t xml:space="preserve">B260719-0073</t>
  </si>
  <si>
    <t xml:space="preserve">B260719-0074</t>
  </si>
  <si>
    <t xml:space="preserve">B260719-0075</t>
  </si>
  <si>
    <t xml:space="preserve">B260719-0076</t>
  </si>
  <si>
    <t xml:space="preserve">B260720-0077</t>
  </si>
  <si>
    <t xml:space="preserve">B260720-0078</t>
  </si>
  <si>
    <t xml:space="preserve">B260720-0079</t>
  </si>
  <si>
    <t xml:space="preserve">B260720-0080</t>
  </si>
  <si>
    <t xml:space="preserve">B260721-0081</t>
  </si>
  <si>
    <t xml:space="preserve">B260721-0082</t>
  </si>
  <si>
    <t xml:space="preserve">B260721-0083</t>
  </si>
  <si>
    <t xml:space="preserve">B260721-0084</t>
  </si>
  <si>
    <t xml:space="preserve">B260722-0085</t>
  </si>
  <si>
    <t xml:space="preserve">B260722-0086</t>
  </si>
  <si>
    <t xml:space="preserve">B260722-0087</t>
  </si>
  <si>
    <t xml:space="preserve">B260722-0088</t>
  </si>
  <si>
    <t xml:space="preserve">B260723-0089</t>
  </si>
  <si>
    <t xml:space="preserve">B260723-0090</t>
  </si>
  <si>
    <t xml:space="preserve">B260723-0091</t>
  </si>
  <si>
    <t xml:space="preserve">B260723-0092</t>
  </si>
  <si>
    <t xml:space="preserve">B260724-0093</t>
  </si>
  <si>
    <t xml:space="preserve">B260724-0094</t>
  </si>
  <si>
    <t xml:space="preserve">B260724-0095</t>
  </si>
  <si>
    <t xml:space="preserve">B260724-0096</t>
  </si>
  <si>
    <t xml:space="preserve">B260725-0097</t>
  </si>
  <si>
    <t xml:space="preserve">B260725-0098</t>
  </si>
  <si>
    <t xml:space="preserve">B260725-0099</t>
  </si>
  <si>
    <t xml:space="preserve">B260725-0100</t>
  </si>
  <si>
    <t xml:space="preserve">B260726-0101</t>
  </si>
  <si>
    <t xml:space="preserve">B260726-0102</t>
  </si>
  <si>
    <t xml:space="preserve">B260726-0103</t>
  </si>
  <si>
    <t xml:space="preserve">B260726-0104</t>
  </si>
  <si>
    <t xml:space="preserve">B260727-0105</t>
  </si>
  <si>
    <t xml:space="preserve">B260727-0106</t>
  </si>
  <si>
    <t xml:space="preserve">B260727-0107</t>
  </si>
  <si>
    <t xml:space="preserve">B260727-0108</t>
  </si>
  <si>
    <t xml:space="preserve">B260728-0109</t>
  </si>
  <si>
    <t xml:space="preserve">B260728-0110</t>
  </si>
  <si>
    <t xml:space="preserve">B260728-0111</t>
  </si>
  <si>
    <t xml:space="preserve">B260728-0112</t>
  </si>
  <si>
    <t xml:space="preserve">B260729-0113</t>
  </si>
  <si>
    <t xml:space="preserve">B260729-0114</t>
  </si>
  <si>
    <t xml:space="preserve">B260729-0115</t>
  </si>
  <si>
    <t xml:space="preserve">B260729-0116</t>
  </si>
  <si>
    <t xml:space="preserve">B260730-0117</t>
  </si>
  <si>
    <t xml:space="preserve">B260730-0118</t>
  </si>
  <si>
    <t xml:space="preserve">B260730-0119</t>
  </si>
  <si>
    <t xml:space="preserve">B260730-0120</t>
  </si>
  <si>
    <t xml:space="preserve">B260731-0121</t>
  </si>
  <si>
    <t xml:space="preserve">B260731-0122</t>
  </si>
  <si>
    <t xml:space="preserve">B260731-0123</t>
  </si>
  <si>
    <t xml:space="preserve">B260731-0124</t>
  </si>
  <si>
    <t xml:space="preserve">B260801-0125</t>
  </si>
  <si>
    <t xml:space="preserve">B260801-0126</t>
  </si>
  <si>
    <t xml:space="preserve">B260801-0127</t>
  </si>
  <si>
    <t xml:space="preserve">B260801-0128</t>
  </si>
  <si>
    <t xml:space="preserve">B260802-0129</t>
  </si>
  <si>
    <t xml:space="preserve">B260802-0130</t>
  </si>
  <si>
    <t xml:space="preserve">B260802-0131</t>
  </si>
  <si>
    <t xml:space="preserve">B260802-0132</t>
  </si>
  <si>
    <t xml:space="preserve">B260803-0133</t>
  </si>
  <si>
    <t xml:space="preserve">B260803-0134</t>
  </si>
  <si>
    <t xml:space="preserve">B260803-0135</t>
  </si>
  <si>
    <t xml:space="preserve">B260803-0136</t>
  </si>
  <si>
    <t xml:space="preserve">B260804-0137</t>
  </si>
  <si>
    <t xml:space="preserve">B260804-0138</t>
  </si>
  <si>
    <t xml:space="preserve">B260804-0139</t>
  </si>
  <si>
    <t xml:space="preserve">B260804-0140</t>
  </si>
  <si>
    <t xml:space="preserve">B260805-0141</t>
  </si>
  <si>
    <t xml:space="preserve">B260805-0142</t>
  </si>
  <si>
    <t xml:space="preserve">B260805-0143</t>
  </si>
  <si>
    <t xml:space="preserve">B260805-0144</t>
  </si>
  <si>
    <t xml:space="preserve">B260806-0145</t>
  </si>
  <si>
    <t xml:space="preserve">B260806-0146</t>
  </si>
  <si>
    <t xml:space="preserve">B260806-0147</t>
  </si>
  <si>
    <t xml:space="preserve">B260806-0148</t>
  </si>
  <si>
    <t xml:space="preserve">B260807-0149</t>
  </si>
  <si>
    <t xml:space="preserve">B260807-0150</t>
  </si>
  <si>
    <t xml:space="preserve">B260807-0151</t>
  </si>
  <si>
    <t xml:space="preserve">B260807-0152</t>
  </si>
  <si>
    <t xml:space="preserve">B260808-0153</t>
  </si>
  <si>
    <t xml:space="preserve">B260808-0154</t>
  </si>
  <si>
    <t xml:space="preserve">B260808-0155</t>
  </si>
  <si>
    <t xml:space="preserve">B260808-0156</t>
  </si>
  <si>
    <t xml:space="preserve">B260809-0157</t>
  </si>
  <si>
    <t xml:space="preserve">B260809-0158</t>
  </si>
  <si>
    <t xml:space="preserve">B260809-0159</t>
  </si>
  <si>
    <t xml:space="preserve">B260809-0160</t>
  </si>
  <si>
    <t xml:space="preserve">B260810-0161</t>
  </si>
  <si>
    <t xml:space="preserve">B260810-0162</t>
  </si>
  <si>
    <t xml:space="preserve">B260810-0163</t>
  </si>
  <si>
    <t xml:space="preserve">B260810-0164</t>
  </si>
  <si>
    <t xml:space="preserve">B260811-0165</t>
  </si>
  <si>
    <t xml:space="preserve">B260811-0166</t>
  </si>
  <si>
    <t xml:space="preserve">B260811-0167</t>
  </si>
  <si>
    <t xml:space="preserve">B260811-0168</t>
  </si>
  <si>
    <t xml:space="preserve">B260812-0169</t>
  </si>
  <si>
    <t xml:space="preserve">B260812-0170</t>
  </si>
  <si>
    <t xml:space="preserve">B260812-0171</t>
  </si>
  <si>
    <t xml:space="preserve">B260812-0172</t>
  </si>
  <si>
    <t xml:space="preserve">B260813-0173</t>
  </si>
  <si>
    <t xml:space="preserve">B260813-0174</t>
  </si>
  <si>
    <t xml:space="preserve">B260813-0175</t>
  </si>
  <si>
    <t xml:space="preserve">B260813-0176</t>
  </si>
  <si>
    <t xml:space="preserve">B260814-0177</t>
  </si>
  <si>
    <t xml:space="preserve">B260814-0178</t>
  </si>
  <si>
    <t xml:space="preserve">B260814-0179</t>
  </si>
  <si>
    <t xml:space="preserve">B260814-0180</t>
  </si>
  <si>
    <t xml:space="preserve">B260815-0181</t>
  </si>
  <si>
    <t xml:space="preserve">B260815-0182</t>
  </si>
  <si>
    <t xml:space="preserve">B260815-0183</t>
  </si>
  <si>
    <t xml:space="preserve">B260815-0184</t>
  </si>
  <si>
    <t xml:space="preserve">B260816-0185</t>
  </si>
  <si>
    <t xml:space="preserve">B260816-0186</t>
  </si>
  <si>
    <t xml:space="preserve">B260816-0187</t>
  </si>
  <si>
    <t xml:space="preserve">B260816-0188</t>
  </si>
  <si>
    <t xml:space="preserve">B260817-0189</t>
  </si>
  <si>
    <t xml:space="preserve">B260817-0190</t>
  </si>
  <si>
    <t xml:space="preserve">B260817-0191</t>
  </si>
  <si>
    <t xml:space="preserve">B260817-0192</t>
  </si>
  <si>
    <t xml:space="preserve">B260818-0193</t>
  </si>
  <si>
    <t xml:space="preserve">B260818-0194</t>
  </si>
  <si>
    <t xml:space="preserve">B260818-0195</t>
  </si>
  <si>
    <t xml:space="preserve">B260818-0196</t>
  </si>
  <si>
    <t xml:space="preserve">B260819-0197</t>
  </si>
  <si>
    <t xml:space="preserve">B260819-0198</t>
  </si>
  <si>
    <t xml:space="preserve">B260819-0199</t>
  </si>
  <si>
    <t xml:space="preserve">B260819-0200</t>
  </si>
  <si>
    <t xml:space="preserve">B260820-0201</t>
  </si>
  <si>
    <t xml:space="preserve">B260820-0202</t>
  </si>
  <si>
    <t xml:space="preserve">B260820-0203</t>
  </si>
  <si>
    <t xml:space="preserve">B260820-0204</t>
  </si>
  <si>
    <t xml:space="preserve">B260821-0205</t>
  </si>
  <si>
    <t xml:space="preserve">B260821-0206</t>
  </si>
  <si>
    <t xml:space="preserve">B260821-0207</t>
  </si>
  <si>
    <t xml:space="preserve">B260821-0208</t>
  </si>
  <si>
    <t xml:space="preserve">B260822-0209</t>
  </si>
  <si>
    <t xml:space="preserve">B260822-0210</t>
  </si>
  <si>
    <t xml:space="preserve">B260822-0211</t>
  </si>
  <si>
    <t xml:space="preserve">B260822-0212</t>
  </si>
  <si>
    <t xml:space="preserve">B260823-0213</t>
  </si>
  <si>
    <t xml:space="preserve">B260823-0214</t>
  </si>
  <si>
    <t xml:space="preserve">B260823-0215</t>
  </si>
  <si>
    <t xml:space="preserve">B260823-0216</t>
  </si>
  <si>
    <t xml:space="preserve">B260824-0217</t>
  </si>
  <si>
    <t xml:space="preserve">B260824-0218</t>
  </si>
  <si>
    <t xml:space="preserve">B260824-0219</t>
  </si>
  <si>
    <t xml:space="preserve">B260824-0220</t>
  </si>
  <si>
    <t xml:space="preserve">B260825-0221</t>
  </si>
  <si>
    <t xml:space="preserve">B260825-0222</t>
  </si>
  <si>
    <t xml:space="preserve">B260825-0223</t>
  </si>
  <si>
    <t xml:space="preserve">B260825-0224</t>
  </si>
  <si>
    <t xml:space="preserve">B260826-0225</t>
  </si>
  <si>
    <t xml:space="preserve">B260826-0226</t>
  </si>
  <si>
    <t xml:space="preserve">B260826-0227</t>
  </si>
  <si>
    <t xml:space="preserve">B260826-0228</t>
  </si>
  <si>
    <t xml:space="preserve">B260827-0229</t>
  </si>
  <si>
    <t xml:space="preserve">B260827-0230</t>
  </si>
  <si>
    <t xml:space="preserve">B260827-0231</t>
  </si>
  <si>
    <t xml:space="preserve">B260827-0232</t>
  </si>
  <si>
    <t xml:space="preserve">B260828-0233</t>
  </si>
  <si>
    <t xml:space="preserve">B260828-0234</t>
  </si>
  <si>
    <t xml:space="preserve">B260828-0235</t>
  </si>
  <si>
    <t xml:space="preserve">B260828-0236</t>
  </si>
  <si>
    <t xml:space="preserve">B260829-0237</t>
  </si>
  <si>
    <t xml:space="preserve">B260829-0238</t>
  </si>
  <si>
    <t xml:space="preserve">B260829-0239</t>
  </si>
  <si>
    <t xml:space="preserve">B260829-0240</t>
  </si>
  <si>
    <t xml:space="preserve">B260830-0241</t>
  </si>
  <si>
    <t xml:space="preserve">B260830-0242</t>
  </si>
  <si>
    <t xml:space="preserve">B260830-0243</t>
  </si>
  <si>
    <t xml:space="preserve">B260830-0244</t>
  </si>
  <si>
    <t xml:space="preserve">B260831-0245</t>
  </si>
  <si>
    <t xml:space="preserve">B260831-0246</t>
  </si>
  <si>
    <t xml:space="preserve">B260831-0247</t>
  </si>
  <si>
    <t xml:space="preserve">B260831-0248</t>
  </si>
  <si>
    <t xml:space="preserve">B260901-0249</t>
  </si>
  <si>
    <t xml:space="preserve">B260901-0250</t>
  </si>
  <si>
    <t xml:space="preserve">B260901-0251</t>
  </si>
  <si>
    <t xml:space="preserve">B260901-0252</t>
  </si>
  <si>
    <t xml:space="preserve">B260902-0253</t>
  </si>
  <si>
    <t xml:space="preserve">B260902-0254</t>
  </si>
  <si>
    <t xml:space="preserve">B260902-0255</t>
  </si>
  <si>
    <t xml:space="preserve">B260902-0256</t>
  </si>
  <si>
    <t xml:space="preserve">B260903-0257</t>
  </si>
  <si>
    <t xml:space="preserve">B260903-0258</t>
  </si>
  <si>
    <t xml:space="preserve">B260903-0259</t>
  </si>
  <si>
    <t xml:space="preserve">B260903-0260</t>
  </si>
  <si>
    <t xml:space="preserve">B260904-0261</t>
  </si>
  <si>
    <t xml:space="preserve">B260904-0262</t>
  </si>
  <si>
    <t xml:space="preserve">B260904-0263</t>
  </si>
  <si>
    <t xml:space="preserve">B260904-0264</t>
  </si>
  <si>
    <t xml:space="preserve">B260905-0265</t>
  </si>
  <si>
    <t xml:space="preserve">B260905-0266</t>
  </si>
  <si>
    <t xml:space="preserve">B260905-0267</t>
  </si>
  <si>
    <t xml:space="preserve">B260905-0268</t>
  </si>
  <si>
    <t xml:space="preserve">B260906-0269</t>
  </si>
  <si>
    <t xml:space="preserve">B260906-0270</t>
  </si>
  <si>
    <t xml:space="preserve">B260906-0271</t>
  </si>
  <si>
    <t xml:space="preserve">B260906-0272</t>
  </si>
  <si>
    <t xml:space="preserve">B260907-0273</t>
  </si>
  <si>
    <t xml:space="preserve">B260907-0274</t>
  </si>
  <si>
    <t xml:space="preserve">B260907-0275</t>
  </si>
  <si>
    <t xml:space="preserve">B260907-0276</t>
  </si>
  <si>
    <t xml:space="preserve">B260908-0277</t>
  </si>
  <si>
    <t xml:space="preserve">B260908-0278</t>
  </si>
  <si>
    <t xml:space="preserve">B260908-0279</t>
  </si>
  <si>
    <t xml:space="preserve">B260908-0280</t>
  </si>
  <si>
    <t xml:space="preserve">B260909-0281</t>
  </si>
  <si>
    <t xml:space="preserve">B260909-0282</t>
  </si>
  <si>
    <t xml:space="preserve">B260909-0283</t>
  </si>
  <si>
    <t xml:space="preserve">B260909-0284</t>
  </si>
  <si>
    <t xml:space="preserve">B260910-0285</t>
  </si>
  <si>
    <t xml:space="preserve">B260910-0286</t>
  </si>
  <si>
    <t xml:space="preserve">B260910-0287</t>
  </si>
  <si>
    <t xml:space="preserve">B260910-0288</t>
  </si>
  <si>
    <t xml:space="preserve">B260911-0289</t>
  </si>
  <si>
    <t xml:space="preserve">B260911-0290</t>
  </si>
  <si>
    <t xml:space="preserve">B260911-0291</t>
  </si>
  <si>
    <t xml:space="preserve">B260911-0292</t>
  </si>
  <si>
    <t xml:space="preserve">B260912-0293</t>
  </si>
  <si>
    <t xml:space="preserve">B260912-0294</t>
  </si>
  <si>
    <t xml:space="preserve">B260912-0295</t>
  </si>
  <si>
    <t xml:space="preserve">B260912-0296</t>
  </si>
  <si>
    <t xml:space="preserve">B260913-0297</t>
  </si>
  <si>
    <t xml:space="preserve">B260913-0298</t>
  </si>
  <si>
    <t xml:space="preserve">B260913-0299</t>
  </si>
  <si>
    <t xml:space="preserve">B260913-0300</t>
  </si>
  <si>
    <t xml:space="preserve">B260914-0301</t>
  </si>
  <si>
    <t xml:space="preserve">B260914-0302</t>
  </si>
  <si>
    <t xml:space="preserve">B260914-0303</t>
  </si>
  <si>
    <t xml:space="preserve">B260914-0304</t>
  </si>
  <si>
    <t xml:space="preserve">B260915-0305</t>
  </si>
  <si>
    <t xml:space="preserve">B260915-0306</t>
  </si>
  <si>
    <t xml:space="preserve">B260915-0307</t>
  </si>
  <si>
    <t xml:space="preserve">B260915-0308</t>
  </si>
  <si>
    <t xml:space="preserve">B260916-0309</t>
  </si>
  <si>
    <t xml:space="preserve">B260916-0310</t>
  </si>
  <si>
    <t xml:space="preserve">B260916-0311</t>
  </si>
  <si>
    <t xml:space="preserve">B260916-0312</t>
  </si>
  <si>
    <t xml:space="preserve">B260917-0313</t>
  </si>
  <si>
    <t xml:space="preserve">B260917-0314</t>
  </si>
  <si>
    <t xml:space="preserve">B260917-0315</t>
  </si>
  <si>
    <t xml:space="preserve">B260917-0316</t>
  </si>
  <si>
    <t xml:space="preserve">B260918-0317</t>
  </si>
  <si>
    <t xml:space="preserve">B260918-0318</t>
  </si>
  <si>
    <t xml:space="preserve">B260918-0319</t>
  </si>
  <si>
    <t xml:space="preserve">B260918-0320</t>
  </si>
  <si>
    <t xml:space="preserve">B260919-0321</t>
  </si>
  <si>
    <t xml:space="preserve">B260919-0322</t>
  </si>
  <si>
    <t xml:space="preserve">B260919-0323</t>
  </si>
  <si>
    <t xml:space="preserve">B260919-0324</t>
  </si>
  <si>
    <t xml:space="preserve">B260920-0325</t>
  </si>
  <si>
    <t xml:space="preserve">B260920-0326</t>
  </si>
  <si>
    <t xml:space="preserve">B260920-0327</t>
  </si>
  <si>
    <t xml:space="preserve">B260920-0328</t>
  </si>
  <si>
    <t xml:space="preserve">B260921-0329</t>
  </si>
  <si>
    <t xml:space="preserve">B260921-0330</t>
  </si>
  <si>
    <t xml:space="preserve">B260921-0331</t>
  </si>
  <si>
    <t xml:space="preserve">B260921-0332</t>
  </si>
  <si>
    <t xml:space="preserve">B260922-0333</t>
  </si>
  <si>
    <t xml:space="preserve">B260922-0334</t>
  </si>
  <si>
    <t xml:space="preserve">B260922-0335</t>
  </si>
  <si>
    <t xml:space="preserve">B260922-0336</t>
  </si>
  <si>
    <t xml:space="preserve">B260923-0337</t>
  </si>
  <si>
    <t xml:space="preserve">B260923-0338</t>
  </si>
  <si>
    <t xml:space="preserve">B260923-0339</t>
  </si>
  <si>
    <t xml:space="preserve">B260923-0340</t>
  </si>
  <si>
    <t xml:space="preserve">B260924-0341</t>
  </si>
  <si>
    <t xml:space="preserve">B260924-0342</t>
  </si>
  <si>
    <t xml:space="preserve">B260924-0343</t>
  </si>
  <si>
    <t xml:space="preserve">B260924-0344</t>
  </si>
  <si>
    <t xml:space="preserve">B260925-0345</t>
  </si>
  <si>
    <t xml:space="preserve">B260925-0346</t>
  </si>
  <si>
    <t xml:space="preserve">B260925-0347</t>
  </si>
  <si>
    <t xml:space="preserve">B260925-0348</t>
  </si>
  <si>
    <t xml:space="preserve">B260926-0349</t>
  </si>
  <si>
    <t xml:space="preserve">B260926-0350</t>
  </si>
  <si>
    <t xml:space="preserve">B260926-0351</t>
  </si>
  <si>
    <t xml:space="preserve">B260926-0352</t>
  </si>
  <si>
    <t xml:space="preserve">B260927-0353</t>
  </si>
  <si>
    <t xml:space="preserve">B260927-0354</t>
  </si>
  <si>
    <t xml:space="preserve">B260927-0355</t>
  </si>
  <si>
    <t xml:space="preserve">B260927-0356</t>
  </si>
  <si>
    <t xml:space="preserve">B260928-0357</t>
  </si>
  <si>
    <t xml:space="preserve">B260928-0358</t>
  </si>
  <si>
    <t xml:space="preserve">B260928-0359</t>
  </si>
  <si>
    <t xml:space="preserve">B260928-0360</t>
  </si>
  <si>
    <t xml:space="preserve">B260929-0361</t>
  </si>
  <si>
    <t xml:space="preserve">B260929-0362</t>
  </si>
  <si>
    <t xml:space="preserve">B260929-0363</t>
  </si>
  <si>
    <t xml:space="preserve">B260929-0364</t>
  </si>
  <si>
    <t xml:space="preserve">B260930-0365</t>
  </si>
  <si>
    <t xml:space="preserve">B260930-0366</t>
  </si>
  <si>
    <t xml:space="preserve">B260930-0367</t>
  </si>
  <si>
    <t xml:space="preserve">B260930-0368</t>
  </si>
  <si>
    <t xml:space="preserve">Food Production – Calculations</t>
  </si>
  <si>
    <t xml:space="preserve">All figures are formulas on 'Raw Data' (rows 2-1000). To use your own data: paste it into 'Raw Data' from row 2 in the same column order. Blue cells on yellow below are editable assumptions.</t>
  </si>
  <si>
    <t xml:space="preserve">ASSUMPTIONS &amp; TARGETS</t>
  </si>
  <si>
    <t xml:space="preserve">OEE target</t>
  </si>
  <si>
    <t xml:space="preserve">Typical world-class OEE benchmark (assumption)</t>
  </si>
  <si>
    <t xml:space="preserve">Reject rate limit</t>
  </si>
  <si>
    <t xml:space="preserve">Assumption – maximum acceptable reject %</t>
  </si>
  <si>
    <t xml:space="preserve">Micro-test fail limit</t>
  </si>
  <si>
    <t xml:space="preserve">Assumption – maximum acceptable fail rate</t>
  </si>
  <si>
    <t xml:space="preserve">Gross margin target</t>
  </si>
  <si>
    <t xml:space="preserve">Assumption</t>
  </si>
  <si>
    <t xml:space="preserve">Energy cost ($/kWh)</t>
  </si>
  <si>
    <t xml:space="preserve">Assumption – replace with tariff</t>
  </si>
  <si>
    <t xml:space="preserve">Labor cost ($/hour)</t>
  </si>
  <si>
    <t xml:space="preserve">Assumption – replace with loaded labor rate</t>
  </si>
  <si>
    <t xml:space="preserve">PRODUCT MASTER (selling price)</t>
  </si>
  <si>
    <t xml:space="preserve">Selling Price ($/kg)</t>
  </si>
  <si>
    <t xml:space="preserve">Selling prices are illustrative assumptions (blue/yellow = editable).</t>
  </si>
  <si>
    <t xml:space="preserve">LINE KPIs</t>
  </si>
  <si>
    <t xml:space="preserve">Batches</t>
  </si>
  <si>
    <t xml:space="preserve">Planned (kg)</t>
  </si>
  <si>
    <t xml:space="preserve">Produced (kg)</t>
  </si>
  <si>
    <t xml:space="preserve">Rejected (kg)</t>
  </si>
  <si>
    <t xml:space="preserve">Good (kg)</t>
  </si>
  <si>
    <t xml:space="preserve">Reject %</t>
  </si>
  <si>
    <t xml:space="preserve">Ideal Output (kg)</t>
  </si>
  <si>
    <t xml:space="preserve">Availability</t>
  </si>
  <si>
    <t xml:space="preserve">Performance</t>
  </si>
  <si>
    <t xml:space="preserve">Quality</t>
  </si>
  <si>
    <t xml:space="preserve">OEE</t>
  </si>
  <si>
    <t xml:space="preserve">kWh / kg good</t>
  </si>
  <si>
    <t xml:space="preserve">Revenue ($)</t>
  </si>
  <si>
    <t xml:space="preserve">Material Cost ($)</t>
  </si>
  <si>
    <t xml:space="preserve">Energy Cost ($)</t>
  </si>
  <si>
    <t xml:space="preserve">Labor Cost ($)</t>
  </si>
  <si>
    <t xml:space="preserve">Total Cost ($)</t>
  </si>
  <si>
    <t xml:space="preserve">Gross Margin ($)</t>
  </si>
  <si>
    <t xml:space="preserve">Margin %</t>
  </si>
  <si>
    <t xml:space="preserve">Cost / kg good ($)</t>
  </si>
  <si>
    <t xml:space="preserve">Micro Fails</t>
  </si>
  <si>
    <t xml:space="preserve">Micro Fail %</t>
  </si>
  <si>
    <t xml:space="preserve">OEE Target</t>
  </si>
  <si>
    <t xml:space="preserve">Total</t>
  </si>
  <si>
    <t xml:space="preserve">PRODUCT KPIs</t>
  </si>
  <si>
    <t xml:space="preserve">Price ($/kg)</t>
  </si>
  <si>
    <t xml:space="preserve">MONTHLY KPIs</t>
  </si>
  <si>
    <t xml:space="preserve">Month (start)</t>
  </si>
  <si>
    <t xml:space="preserve">Label</t>
  </si>
  <si>
    <t xml:space="preserve">DOWNTIME BY REASON (Pareto)</t>
  </si>
  <si>
    <t xml:space="preserve">Reason</t>
  </si>
  <si>
    <t xml:space="preserve">% of Total</t>
  </si>
  <si>
    <t xml:space="preserve">Cumulative %</t>
  </si>
  <si>
    <t xml:space="preserve">Events</t>
  </si>
  <si>
    <t xml:space="preserve">SHIFT KPIs</t>
  </si>
  <si>
    <t xml:space="preserve">DASHBOARD SELECTION KPIs (driven by Dashboard!C4)</t>
  </si>
  <si>
    <t xml:space="preserve">Metric</t>
  </si>
  <si>
    <t xml:space="preserve">Value</t>
  </si>
  <si>
    <t xml:space="preserve">Planned time (min)</t>
  </si>
  <si>
    <t xml:space="preserve">Ideal output (kg)</t>
  </si>
  <si>
    <t xml:space="preserve">Raw material input (kg)</t>
  </si>
  <si>
    <t xml:space="preserve">Total cost ($)</t>
  </si>
  <si>
    <t xml:space="preserve">Micro-test fails</t>
  </si>
  <si>
    <t xml:space="preserve">Gross margin ($)</t>
  </si>
  <si>
    <t xml:space="preserve">Gross margin %</t>
  </si>
  <si>
    <t xml:space="preserve">Avg selling price ($/kg)</t>
  </si>
  <si>
    <t xml:space="preserve">Micro-test fail %</t>
  </si>
  <si>
    <t xml:space="preserve">FOOD PRODUCTION – EXECUTIVE PERFORMANCE REPORT</t>
  </si>
  <si>
    <t xml:space="preserve">View ▶</t>
  </si>
  <si>
    <t xml:space="preserve">All</t>
  </si>
  <si>
    <t xml:space="preserve">Drop-down filters the executive summary and KPI table (insights, line table and charts cover the whole plant).</t>
  </si>
  <si>
    <t xml:space="preserve">EXECUTIVE SUMMARY</t>
  </si>
  <si>
    <t xml:space="preserve">KEY PERFORMANCE INDICATORS</t>
  </si>
  <si>
    <t xml:space="preserve">KEY INSIGHTS (whole plant)</t>
  </si>
  <si>
    <t xml:space="preserve">Actual</t>
  </si>
  <si>
    <t xml:space="preserve">Target</t>
  </si>
  <si>
    <t xml:space="preserve">Variance</t>
  </si>
  <si>
    <t xml:space="preserve">Status</t>
  </si>
  <si>
    <t xml:space="preserve">What stands out</t>
  </si>
  <si>
    <t xml:space="preserve">–</t>
  </si>
  <si>
    <t xml:space="preserve">Reject rate</t>
  </si>
  <si>
    <t xml:space="preserve">Micro-test fail rate</t>
  </si>
  <si>
    <t xml:space="preserve">Cost per kg (good output)</t>
  </si>
  <si>
    <t xml:space="preserve">PERFORMANCE BY LINE (whole plant)</t>
  </si>
  <si>
    <t xml:space="preserve">vs Target (pp)</t>
  </si>
  <si>
    <t xml:space="preserve">Cost / kg</t>
  </si>
  <si>
    <t xml:space="preserve">OEE Status</t>
  </si>
  <si>
    <t xml:space="preserve">TRENDS &amp; DRIVERS</t>
  </si>
  <si>
    <t xml:space="preserve">RECOMMENDED ACTIONS (auto-generated from the data)</t>
  </si>
  <si>
    <t xml:space="preserve">Notes: sample data is synthetic. Targets, prices and energy/labor rates are assumptions – edit the blue/yellow cells in the Calculations tab. KPIs: OEE = Availability × Performance × Quality.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</si>
</sst>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\-mmm\-yyyy"/>
    <numFmt numFmtId="166" formatCode="#,##0"/>
    <numFmt numFmtId="167" formatCode="0.00"/>
    <numFmt numFmtId="168" formatCode="0.0%"/>
    <numFmt numFmtId="169" formatCode="\$0.00"/>
    <numFmt numFmtId="170" formatCode="\$#,##0.00"/>
    <numFmt numFmtId="171" formatCode="\$#,##0"/>
    <numFmt numFmtId="172" formatCode="\$#,##0;&quot;($&quot;#,##0\);\-"/>
    <numFmt numFmtId="173" formatCode="mmm\ yyyy"/>
    <numFmt numFmtId="174" formatCode="\+0.0&quot; pp&quot;;\-0.0&quot; pp&quot;;0.0&quot; pp&quot;"/>
    <numFmt numFmtId="175" formatCode="\+0.0;\-0.0;0.0"/>
    <numFmt numFmtId="176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2"/>
      <color rgb="FF262626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262626"/>
      <name val="Arial"/>
      <family val="0"/>
      <charset val="1"/>
    </font>
    <font>
      <sz val="10.5"/>
      <color rgb="FF262626"/>
      <name val="Arial"/>
      <family val="0"/>
      <charset val="1"/>
    </font>
    <font>
      <i val="true"/>
      <sz val="8.5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7ECF3"/>
      </patternFill>
    </fill>
    <fill>
      <patternFill patternType="solid">
        <fgColor rgb="FFE7ECF3"/>
        <bgColor rgb="FFDD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true" indent="1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8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71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0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0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0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center" textRotation="0" wrapText="true" indent="1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803C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3C"/>
      <rgbColor rgb="FFBFBFBF"/>
      <rgbColor rgb="FF7F7F7F"/>
      <rgbColor rgb="FF9999FF"/>
      <rgbColor rgb="FF993366"/>
      <rgbColor rgb="FFFFFFCC"/>
      <rgbColor rgb="FFDDEBF7"/>
      <rgbColor rgb="FF660066"/>
      <rgbColor rgb="FFE76F51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CF3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2A9D8F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OEE vs target by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Calculations!$N$24:$N$24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Calculations!$A$25:$A$28</c:f>
              <c:strCache>
                <c:ptCount val="4"/>
                <c:pt idx="0">
                  <c:v>Bakery</c:v>
                </c:pt>
                <c:pt idx="1">
                  <c:v>Dairy</c:v>
                </c:pt>
                <c:pt idx="2">
                  <c:v>Beverage</c:v>
                </c:pt>
                <c:pt idx="3">
                  <c:v>Frozen</c:v>
                </c:pt>
              </c:strCache>
            </c:strRef>
          </c:cat>
          <c:val>
            <c:numRef>
              <c:f>Calculations!$N$25:$N$28</c:f>
              <c:numCache>
                <c:formatCode>0.0%</c:formatCode>
                <c:ptCount val="4"/>
                <c:pt idx="0">
                  <c:v>0.795633807545346</c:v>
                </c:pt>
                <c:pt idx="1">
                  <c:v>0.808110501067346</c:v>
                </c:pt>
                <c:pt idx="2">
                  <c:v>0.824139469936458</c:v>
                </c:pt>
                <c:pt idx="3">
                  <c:v>0.814795147886361</c:v>
                </c:pt>
              </c:numCache>
            </c:numRef>
          </c:val>
        </c:ser>
        <c:gapWidth val="150"/>
        <c:overlap val="0"/>
        <c:axId val="75408198"/>
        <c:axId val="66250279"/>
      </c:barChart>
      <c:lineChart>
        <c:grouping val="standard"/>
        <c:varyColors val="0"/>
        <c:ser>
          <c:idx val="1"/>
          <c:order val="1"/>
          <c:tx>
            <c:strRef>
              <c:f>Calculations!$AC$24:$AC$24</c:f>
              <c:strCache>
                <c:ptCount val="1"/>
                <c:pt idx="0">
                  <c:v>OEE Target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Calculations!$A$25:$A$28</c:f>
              <c:strCache>
                <c:ptCount val="4"/>
                <c:pt idx="0">
                  <c:v>Bakery</c:v>
                </c:pt>
                <c:pt idx="1">
                  <c:v>Dairy</c:v>
                </c:pt>
                <c:pt idx="2">
                  <c:v>Beverage</c:v>
                </c:pt>
                <c:pt idx="3">
                  <c:v>Frozen</c:v>
                </c:pt>
              </c:strCache>
            </c:strRef>
          </c:cat>
          <c:val>
            <c:numRef>
              <c:f>Calculations!$AC$25:$AC$28</c:f>
              <c:numCache>
                <c:formatCode>0.0%</c:formatCode>
                <c:ptCount val="4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408198"/>
        <c:axId val="66250279"/>
      </c:lineChart>
      <c:catAx>
        <c:axId val="754081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50279"/>
        <c:crosses val="autoZero"/>
        <c:auto val="1"/>
        <c:lblAlgn val="ctr"/>
        <c:lblOffset val="100"/>
        <c:noMultiLvlLbl val="0"/>
      </c:catAx>
      <c:valAx>
        <c:axId val="66250279"/>
        <c:scaling>
          <c:orientation val="minMax"/>
          <c:max val="1"/>
          <c:min val="0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081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OEE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Calculations!$M$44:$M$44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Calculations!$S$45:$S$47</c:f>
              <c:strCache>
                <c:ptCount val="3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</c:strCache>
            </c:strRef>
          </c:cat>
          <c:val>
            <c:numRef>
              <c:f>Calculations!$M$45:$M$47</c:f>
              <c:numCache>
                <c:formatCode>0.0%</c:formatCode>
                <c:ptCount val="3"/>
                <c:pt idx="0">
                  <c:v>0.81524715193222</c:v>
                </c:pt>
                <c:pt idx="1">
                  <c:v>0.815478572309334</c:v>
                </c:pt>
                <c:pt idx="2">
                  <c:v>0.812074949240601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Calculations!$T$44:$T$44</c:f>
              <c:strCache>
                <c:ptCount val="1"/>
                <c:pt idx="0">
                  <c:v>OEE Target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Calculations!$S$45:$S$47</c:f>
              <c:strCache>
                <c:ptCount val="3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</c:strCache>
            </c:strRef>
          </c:cat>
          <c:val>
            <c:numRef>
              <c:f>Calculations!$T$45:$T$47</c:f>
              <c:numCache>
                <c:formatCode>0.0%</c:formatCode>
                <c:ptCount val="3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118953"/>
        <c:axId val="36424581"/>
      </c:lineChart>
      <c:catAx>
        <c:axId val="321189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24581"/>
        <c:crosses val="autoZero"/>
        <c:auto val="1"/>
        <c:lblAlgn val="ctr"/>
        <c:lblOffset val="100"/>
        <c:noMultiLvlLbl val="0"/>
      </c:catAx>
      <c:valAx>
        <c:axId val="36424581"/>
        <c:scaling>
          <c:orientation val="minMax"/>
          <c:max val="1"/>
          <c:min val="0.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189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time is lost – downtime Pareto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Calculations!$B$50:$B$50</c:f>
              <c:strCache>
                <c:ptCount val="1"/>
                <c:pt idx="0">
                  <c:v>Downtime (min)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Calculations!$A$51:$A$57</c:f>
              <c:strCache>
                <c:ptCount val="7"/>
                <c:pt idx="0">
                  <c:v>Changeover</c:v>
                </c:pt>
                <c:pt idx="1">
                  <c:v>Equipment failure</c:v>
                </c:pt>
                <c:pt idx="2">
                  <c:v>Cleaning / CIP</c:v>
                </c:pt>
                <c:pt idx="3">
                  <c:v>Quality hold</c:v>
                </c:pt>
                <c:pt idx="4">
                  <c:v>Material shortage</c:v>
                </c:pt>
                <c:pt idx="5">
                  <c:v>Planned maintenance</c:v>
                </c:pt>
                <c:pt idx="6">
                  <c:v>Other</c:v>
                </c:pt>
              </c:strCache>
            </c:strRef>
          </c:cat>
          <c:val>
            <c:numRef>
              <c:f>Calculations!$B$51:$B$57</c:f>
              <c:numCache>
                <c:formatCode>#,##0</c:formatCode>
                <c:ptCount val="7"/>
                <c:pt idx="0">
                  <c:v>3339</c:v>
                </c:pt>
                <c:pt idx="1">
                  <c:v>3275</c:v>
                </c:pt>
                <c:pt idx="2">
                  <c:v>2838</c:v>
                </c:pt>
                <c:pt idx="3">
                  <c:v>1500</c:v>
                </c:pt>
                <c:pt idx="4">
                  <c:v>1347</c:v>
                </c:pt>
                <c:pt idx="5">
                  <c:v>1038</c:v>
                </c:pt>
                <c:pt idx="6">
                  <c:v>796</c:v>
                </c:pt>
              </c:numCache>
            </c:numRef>
          </c:val>
        </c:ser>
        <c:gapWidth val="150"/>
        <c:overlap val="0"/>
        <c:axId val="83379290"/>
        <c:axId val="23418786"/>
      </c:barChart>
      <c:lineChart>
        <c:grouping val="standard"/>
        <c:varyColors val="0"/>
        <c:ser>
          <c:idx val="1"/>
          <c:order val="1"/>
          <c:tx>
            <c:strRef>
              <c:f>Calculations!$D$50:$D$50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round/>
            </a:ln>
          </c:spPr>
          <c:marker>
            <c:symbol val="circle"/>
            <c:size val="5"/>
            <c:spPr>
              <a:solidFill>
                <a:srgbClr val="e76f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Calculations!$A$51:$A$57</c:f>
              <c:strCache>
                <c:ptCount val="7"/>
                <c:pt idx="0">
                  <c:v>Changeover</c:v>
                </c:pt>
                <c:pt idx="1">
                  <c:v>Equipment failure</c:v>
                </c:pt>
                <c:pt idx="2">
                  <c:v>Cleaning / CIP</c:v>
                </c:pt>
                <c:pt idx="3">
                  <c:v>Quality hold</c:v>
                </c:pt>
                <c:pt idx="4">
                  <c:v>Material shortage</c:v>
                </c:pt>
                <c:pt idx="5">
                  <c:v>Planned maintenance</c:v>
                </c:pt>
                <c:pt idx="6">
                  <c:v>Other</c:v>
                </c:pt>
              </c:strCache>
            </c:strRef>
          </c:cat>
          <c:val>
            <c:numRef>
              <c:f>Calculations!$D$51:$D$57</c:f>
              <c:numCache>
                <c:formatCode>0.0%</c:formatCode>
                <c:ptCount val="7"/>
                <c:pt idx="0">
                  <c:v>0.236255572065379</c:v>
                </c:pt>
                <c:pt idx="1">
                  <c:v>0.467982735441874</c:v>
                </c:pt>
                <c:pt idx="2">
                  <c:v>0.668789358239581</c:v>
                </c:pt>
                <c:pt idx="3">
                  <c:v>0.774923936885304</c:v>
                </c:pt>
                <c:pt idx="4">
                  <c:v>0.870232788509163</c:v>
                </c:pt>
                <c:pt idx="5">
                  <c:v>0.943677916932003</c:v>
                </c:pt>
                <c:pt idx="6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784981"/>
        <c:axId val="60485247"/>
      </c:lineChart>
      <c:catAx>
        <c:axId val="833792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18786"/>
        <c:crosses val="autoZero"/>
        <c:auto val="1"/>
        <c:lblAlgn val="ctr"/>
        <c:lblOffset val="100"/>
        <c:noMultiLvlLbl val="0"/>
      </c:catAx>
      <c:valAx>
        <c:axId val="23418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79290"/>
        <c:crosses val="autoZero"/>
        <c:crossBetween val="between"/>
      </c:valAx>
      <c:catAx>
        <c:axId val="81784981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85247"/>
        <c:crosses val="autoZero"/>
        <c:auto val="1"/>
        <c:lblAlgn val="ctr"/>
        <c:lblOffset val="100"/>
        <c:noMultiLvlLbl val="0"/>
      </c:catAx>
      <c:valAx>
        <c:axId val="6048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8498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 %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Calculations!$P$32:$P$32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Calculations!$A$33:$A$40</c:f>
              <c:strCache>
                <c:ptCount val="8"/>
                <c:pt idx="0">
                  <c:v>Bread</c:v>
                </c:pt>
                <c:pt idx="1">
                  <c:v>Cookies</c:v>
                </c:pt>
                <c:pt idx="2">
                  <c:v>Yogurt</c:v>
                </c:pt>
                <c:pt idx="3">
                  <c:v>Cheese</c:v>
                </c:pt>
                <c:pt idx="4">
                  <c:v>Juice</c:v>
                </c:pt>
                <c:pt idx="5">
                  <c:v>Soda</c:v>
                </c:pt>
                <c:pt idx="6">
                  <c:v>Ice Cream</c:v>
                </c:pt>
                <c:pt idx="7">
                  <c:v>Frozen Pizza</c:v>
                </c:pt>
              </c:strCache>
            </c:strRef>
          </c:cat>
          <c:val>
            <c:numRef>
              <c:f>Calculations!$P$33:$P$40</c:f>
              <c:numCache>
                <c:formatCode>0.0%</c:formatCode>
                <c:ptCount val="8"/>
                <c:pt idx="0">
                  <c:v>0.47907369286455</c:v>
                </c:pt>
                <c:pt idx="1">
                  <c:v>0.496430901129167</c:v>
                </c:pt>
                <c:pt idx="2">
                  <c:v>0.487797254347449</c:v>
                </c:pt>
                <c:pt idx="3">
                  <c:v>0.403073835222706</c:v>
                </c:pt>
                <c:pt idx="4">
                  <c:v>0.503810629989249</c:v>
                </c:pt>
                <c:pt idx="5">
                  <c:v>0.55653326142378</c:v>
                </c:pt>
                <c:pt idx="6">
                  <c:v>0.513316867006971</c:v>
                </c:pt>
                <c:pt idx="7">
                  <c:v>0.445201048599157</c:v>
                </c:pt>
              </c:numCache>
            </c:numRef>
          </c:val>
        </c:ser>
        <c:gapWidth val="150"/>
        <c:overlap val="0"/>
        <c:axId val="94822551"/>
        <c:axId val="36292230"/>
      </c:barChart>
      <c:catAx>
        <c:axId val="948225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92230"/>
        <c:crosses val="autoZero"/>
        <c:auto val="1"/>
        <c:lblAlgn val="ctr"/>
        <c:lblOffset val="100"/>
        <c:noMultiLvlLbl val="0"/>
      </c:catAx>
      <c:valAx>
        <c:axId val="362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225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6</xdr:col>
      <xdr:colOff>888840</xdr:colOff>
      <xdr:row>42</xdr:row>
      <xdr:rowOff>185400</xdr:rowOff>
    </xdr:to>
    <xdr:graphicFrame>
      <xdr:nvGraphicFramePr>
        <xdr:cNvPr id="0" name="Chart 1"/>
        <xdr:cNvGraphicFramePr/>
      </xdr:nvGraphicFramePr>
      <xdr:xfrm>
        <a:off x="141120" y="7343640"/>
        <a:ext cx="5470200" cy="26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12</xdr:col>
      <xdr:colOff>888480</xdr:colOff>
      <xdr:row>42</xdr:row>
      <xdr:rowOff>185400</xdr:rowOff>
    </xdr:to>
    <xdr:graphicFrame>
      <xdr:nvGraphicFramePr>
        <xdr:cNvPr id="1" name="Chart 2"/>
        <xdr:cNvGraphicFramePr/>
      </xdr:nvGraphicFramePr>
      <xdr:xfrm>
        <a:off x="5638680" y="7343640"/>
        <a:ext cx="5470200" cy="26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6</xdr:col>
      <xdr:colOff>888840</xdr:colOff>
      <xdr:row>58</xdr:row>
      <xdr:rowOff>185760</xdr:rowOff>
    </xdr:to>
    <xdr:graphicFrame>
      <xdr:nvGraphicFramePr>
        <xdr:cNvPr id="2" name="Chart 3"/>
        <xdr:cNvGraphicFramePr/>
      </xdr:nvGraphicFramePr>
      <xdr:xfrm>
        <a:off x="141120" y="10391760"/>
        <a:ext cx="5470200" cy="26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888480</xdr:colOff>
      <xdr:row>58</xdr:row>
      <xdr:rowOff>185760</xdr:rowOff>
    </xdr:to>
    <xdr:graphicFrame>
      <xdr:nvGraphicFramePr>
        <xdr:cNvPr id="3" name="Chart 4"/>
        <xdr:cNvGraphicFramePr/>
      </xdr:nvGraphicFramePr>
      <xdr:xfrm>
        <a:off x="5638680" y="10391760"/>
        <a:ext cx="5470200" cy="26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7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9" min="6" style="1" width="12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1"/>
    <col collapsed="false" customWidth="true" hidden="false" outlineLevel="0" max="14" min="14" style="1" width="9"/>
    <col collapsed="false" customWidth="true" hidden="false" outlineLevel="0" max="15" min="15" style="1" width="14"/>
    <col collapsed="false" customWidth="true" hidden="false" outlineLevel="0" max="16" min="16" style="1" width="20"/>
    <col collapsed="false" customWidth="true" hidden="false" outlineLevel="0" max="17" min="17" style="1" width="1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3" t="n">
        <v>46204</v>
      </c>
      <c r="B2" s="4" t="s">
        <v>17</v>
      </c>
      <c r="C2" s="4" t="s">
        <v>18</v>
      </c>
      <c r="D2" s="4" t="s">
        <v>19</v>
      </c>
      <c r="E2" s="4" t="s">
        <v>20</v>
      </c>
      <c r="F2" s="5" t="n">
        <v>3802</v>
      </c>
      <c r="G2" s="5" t="n">
        <v>3693</v>
      </c>
      <c r="H2" s="5" t="n">
        <v>88</v>
      </c>
      <c r="I2" s="5" t="n">
        <v>480</v>
      </c>
      <c r="J2" s="5" t="n">
        <v>15</v>
      </c>
      <c r="K2" s="4" t="n">
        <v>9</v>
      </c>
      <c r="L2" s="5" t="n">
        <v>3848</v>
      </c>
      <c r="M2" s="5" t="n">
        <v>1792</v>
      </c>
      <c r="N2" s="4" t="n">
        <v>48</v>
      </c>
      <c r="O2" s="6" t="n">
        <v>1.02</v>
      </c>
      <c r="P2" s="4" t="s">
        <v>21</v>
      </c>
      <c r="Q2" s="4" t="s">
        <v>22</v>
      </c>
    </row>
    <row r="3" customFormat="false" ht="15" hidden="false" customHeight="false" outlineLevel="0" collapsed="false">
      <c r="A3" s="3" t="n">
        <v>46204</v>
      </c>
      <c r="B3" s="4" t="s">
        <v>23</v>
      </c>
      <c r="C3" s="4" t="s">
        <v>24</v>
      </c>
      <c r="D3" s="4" t="s">
        <v>25</v>
      </c>
      <c r="E3" s="4" t="s">
        <v>26</v>
      </c>
      <c r="F3" s="5" t="n">
        <v>1690</v>
      </c>
      <c r="G3" s="5" t="n">
        <v>1567</v>
      </c>
      <c r="H3" s="5" t="n">
        <v>30</v>
      </c>
      <c r="I3" s="5" t="n">
        <v>480</v>
      </c>
      <c r="J3" s="5" t="n">
        <v>26</v>
      </c>
      <c r="K3" s="4" t="n">
        <v>4</v>
      </c>
      <c r="L3" s="5" t="n">
        <v>1632</v>
      </c>
      <c r="M3" s="5" t="n">
        <v>870</v>
      </c>
      <c r="N3" s="4" t="n">
        <v>48</v>
      </c>
      <c r="O3" s="6" t="n">
        <v>4.52</v>
      </c>
      <c r="P3" s="4" t="s">
        <v>27</v>
      </c>
      <c r="Q3" s="4" t="s">
        <v>22</v>
      </c>
    </row>
    <row r="4" customFormat="false" ht="15" hidden="false" customHeight="false" outlineLevel="0" collapsed="false">
      <c r="A4" s="3" t="n">
        <v>46204</v>
      </c>
      <c r="B4" s="4" t="s">
        <v>28</v>
      </c>
      <c r="C4" s="4" t="s">
        <v>29</v>
      </c>
      <c r="D4" s="4" t="s">
        <v>30</v>
      </c>
      <c r="E4" s="4" t="s">
        <v>31</v>
      </c>
      <c r="F4" s="5" t="n">
        <v>8448</v>
      </c>
      <c r="G4" s="5" t="n">
        <v>8070</v>
      </c>
      <c r="H4" s="5" t="n">
        <v>181</v>
      </c>
      <c r="I4" s="5" t="n">
        <v>480</v>
      </c>
      <c r="J4" s="5" t="n">
        <v>0</v>
      </c>
      <c r="K4" s="4" t="n">
        <v>20</v>
      </c>
      <c r="L4" s="5" t="n">
        <v>8413</v>
      </c>
      <c r="M4" s="5" t="n">
        <v>1172</v>
      </c>
      <c r="N4" s="4" t="n">
        <v>48</v>
      </c>
      <c r="O4" s="6" t="n">
        <v>0.73</v>
      </c>
      <c r="P4" s="4" t="s">
        <v>32</v>
      </c>
      <c r="Q4" s="4" t="s">
        <v>22</v>
      </c>
    </row>
    <row r="5" customFormat="false" ht="15" hidden="false" customHeight="false" outlineLevel="0" collapsed="false">
      <c r="A5" s="3" t="n">
        <v>46204</v>
      </c>
      <c r="B5" s="4" t="s">
        <v>33</v>
      </c>
      <c r="C5" s="4" t="s">
        <v>18</v>
      </c>
      <c r="D5" s="4" t="s">
        <v>34</v>
      </c>
      <c r="E5" s="4" t="s">
        <v>35</v>
      </c>
      <c r="F5" s="5" t="n">
        <v>2112</v>
      </c>
      <c r="G5" s="5" t="n">
        <v>2182</v>
      </c>
      <c r="H5" s="5" t="n">
        <v>83</v>
      </c>
      <c r="I5" s="5" t="n">
        <v>480</v>
      </c>
      <c r="J5" s="5" t="n">
        <v>18</v>
      </c>
      <c r="K5" s="4" t="n">
        <v>5</v>
      </c>
      <c r="L5" s="5" t="n">
        <v>2281</v>
      </c>
      <c r="M5" s="5" t="n">
        <v>1255</v>
      </c>
      <c r="N5" s="4" t="n">
        <v>48</v>
      </c>
      <c r="O5" s="6" t="n">
        <v>3.01</v>
      </c>
      <c r="P5" s="4" t="s">
        <v>21</v>
      </c>
      <c r="Q5" s="4" t="s">
        <v>22</v>
      </c>
    </row>
    <row r="6" customFormat="false" ht="15" hidden="false" customHeight="false" outlineLevel="0" collapsed="false">
      <c r="A6" s="3" t="n">
        <v>46205</v>
      </c>
      <c r="B6" s="4" t="s">
        <v>36</v>
      </c>
      <c r="C6" s="4" t="s">
        <v>24</v>
      </c>
      <c r="D6" s="4" t="s">
        <v>19</v>
      </c>
      <c r="E6" s="4" t="s">
        <v>37</v>
      </c>
      <c r="F6" s="5" t="n">
        <v>2534</v>
      </c>
      <c r="G6" s="5" t="n">
        <v>2434</v>
      </c>
      <c r="H6" s="5" t="n">
        <v>94</v>
      </c>
      <c r="I6" s="5" t="n">
        <v>480</v>
      </c>
      <c r="J6" s="5" t="n">
        <v>40</v>
      </c>
      <c r="K6" s="4" t="n">
        <v>6</v>
      </c>
      <c r="L6" s="5" t="n">
        <v>2530</v>
      </c>
      <c r="M6" s="5" t="n">
        <v>1520</v>
      </c>
      <c r="N6" s="4" t="n">
        <v>48</v>
      </c>
      <c r="O6" s="6" t="n">
        <v>2.04</v>
      </c>
      <c r="P6" s="4" t="s">
        <v>38</v>
      </c>
      <c r="Q6" s="4" t="s">
        <v>22</v>
      </c>
    </row>
    <row r="7" customFormat="false" ht="15" hidden="false" customHeight="false" outlineLevel="0" collapsed="false">
      <c r="A7" s="3" t="n">
        <v>46205</v>
      </c>
      <c r="B7" s="4" t="s">
        <v>39</v>
      </c>
      <c r="C7" s="4" t="s">
        <v>29</v>
      </c>
      <c r="D7" s="4" t="s">
        <v>25</v>
      </c>
      <c r="E7" s="4" t="s">
        <v>40</v>
      </c>
      <c r="F7" s="5" t="n">
        <v>5069</v>
      </c>
      <c r="G7" s="5" t="n">
        <v>4713</v>
      </c>
      <c r="H7" s="5" t="n">
        <v>93</v>
      </c>
      <c r="I7" s="5" t="n">
        <v>480</v>
      </c>
      <c r="J7" s="5" t="n">
        <v>18</v>
      </c>
      <c r="K7" s="4" t="n">
        <v>12</v>
      </c>
      <c r="L7" s="5" t="n">
        <v>4906</v>
      </c>
      <c r="M7" s="5" t="n">
        <v>1376</v>
      </c>
      <c r="N7" s="4" t="n">
        <v>48</v>
      </c>
      <c r="O7" s="6" t="n">
        <v>1.29</v>
      </c>
      <c r="P7" s="4" t="s">
        <v>21</v>
      </c>
      <c r="Q7" s="4" t="s">
        <v>22</v>
      </c>
    </row>
    <row r="8" customFormat="false" ht="15" hidden="false" customHeight="false" outlineLevel="0" collapsed="false">
      <c r="A8" s="3" t="n">
        <v>46205</v>
      </c>
      <c r="B8" s="4" t="s">
        <v>41</v>
      </c>
      <c r="C8" s="4" t="s">
        <v>18</v>
      </c>
      <c r="D8" s="4" t="s">
        <v>30</v>
      </c>
      <c r="E8" s="4" t="s">
        <v>42</v>
      </c>
      <c r="F8" s="5" t="n">
        <v>10560</v>
      </c>
      <c r="G8" s="5" t="n">
        <v>8680</v>
      </c>
      <c r="H8" s="5" t="n">
        <v>64</v>
      </c>
      <c r="I8" s="5" t="n">
        <v>480</v>
      </c>
      <c r="J8" s="5" t="n">
        <v>103</v>
      </c>
      <c r="K8" s="4" t="n">
        <v>25</v>
      </c>
      <c r="L8" s="5" t="n">
        <v>9055</v>
      </c>
      <c r="M8" s="5" t="n">
        <v>971</v>
      </c>
      <c r="N8" s="4" t="n">
        <v>48</v>
      </c>
      <c r="O8" s="6" t="n">
        <v>0.4</v>
      </c>
      <c r="P8" s="4" t="s">
        <v>27</v>
      </c>
      <c r="Q8" s="4" t="s">
        <v>22</v>
      </c>
    </row>
    <row r="9" customFormat="false" ht="15" hidden="false" customHeight="false" outlineLevel="0" collapsed="false">
      <c r="A9" s="3" t="n">
        <v>46205</v>
      </c>
      <c r="B9" s="4" t="s">
        <v>43</v>
      </c>
      <c r="C9" s="4" t="s">
        <v>24</v>
      </c>
      <c r="D9" s="4" t="s">
        <v>34</v>
      </c>
      <c r="E9" s="4" t="s">
        <v>44</v>
      </c>
      <c r="F9" s="5" t="n">
        <v>3379</v>
      </c>
      <c r="G9" s="5" t="n">
        <v>3316</v>
      </c>
      <c r="H9" s="5" t="n">
        <v>121</v>
      </c>
      <c r="I9" s="5" t="n">
        <v>480</v>
      </c>
      <c r="J9" s="5" t="n">
        <v>41</v>
      </c>
      <c r="K9" s="4" t="n">
        <v>8</v>
      </c>
      <c r="L9" s="5" t="n">
        <v>3418</v>
      </c>
      <c r="M9" s="5" t="n">
        <v>2104</v>
      </c>
      <c r="N9" s="4" t="n">
        <v>48</v>
      </c>
      <c r="O9" s="6" t="n">
        <v>2.27</v>
      </c>
      <c r="P9" s="4" t="s">
        <v>27</v>
      </c>
      <c r="Q9" s="4" t="s">
        <v>22</v>
      </c>
    </row>
    <row r="10" customFormat="false" ht="15" hidden="false" customHeight="false" outlineLevel="0" collapsed="false">
      <c r="A10" s="3" t="n">
        <v>46206</v>
      </c>
      <c r="B10" s="4" t="s">
        <v>45</v>
      </c>
      <c r="C10" s="4" t="s">
        <v>29</v>
      </c>
      <c r="D10" s="4" t="s">
        <v>19</v>
      </c>
      <c r="E10" s="4" t="s">
        <v>20</v>
      </c>
      <c r="F10" s="5" t="n">
        <v>3802</v>
      </c>
      <c r="G10" s="5" t="n">
        <v>2933</v>
      </c>
      <c r="H10" s="5" t="n">
        <v>79</v>
      </c>
      <c r="I10" s="5" t="n">
        <v>480</v>
      </c>
      <c r="J10" s="5" t="n">
        <v>106</v>
      </c>
      <c r="K10" s="4" t="n">
        <v>9</v>
      </c>
      <c r="L10" s="5" t="n">
        <v>3035</v>
      </c>
      <c r="M10" s="5" t="n">
        <v>1429</v>
      </c>
      <c r="N10" s="4" t="n">
        <v>48</v>
      </c>
      <c r="O10" s="6" t="n">
        <v>1.05</v>
      </c>
      <c r="P10" s="4" t="s">
        <v>38</v>
      </c>
      <c r="Q10" s="4" t="s">
        <v>22</v>
      </c>
    </row>
    <row r="11" customFormat="false" ht="15" hidden="false" customHeight="false" outlineLevel="0" collapsed="false">
      <c r="A11" s="3" t="n">
        <v>46206</v>
      </c>
      <c r="B11" s="4" t="s">
        <v>46</v>
      </c>
      <c r="C11" s="4" t="s">
        <v>18</v>
      </c>
      <c r="D11" s="4" t="s">
        <v>25</v>
      </c>
      <c r="E11" s="4" t="s">
        <v>26</v>
      </c>
      <c r="F11" s="5" t="n">
        <v>1690</v>
      </c>
      <c r="G11" s="5" t="n">
        <v>1576</v>
      </c>
      <c r="H11" s="5" t="n">
        <v>52</v>
      </c>
      <c r="I11" s="5" t="n">
        <v>480</v>
      </c>
      <c r="J11" s="5" t="n">
        <v>51</v>
      </c>
      <c r="K11" s="4" t="n">
        <v>4</v>
      </c>
      <c r="L11" s="5" t="n">
        <v>1631</v>
      </c>
      <c r="M11" s="5" t="n">
        <v>818</v>
      </c>
      <c r="N11" s="4" t="n">
        <v>48</v>
      </c>
      <c r="O11" s="6" t="n">
        <v>4.74</v>
      </c>
      <c r="P11" s="4" t="s">
        <v>21</v>
      </c>
      <c r="Q11" s="4" t="s">
        <v>22</v>
      </c>
    </row>
    <row r="12" customFormat="false" ht="15" hidden="false" customHeight="false" outlineLevel="0" collapsed="false">
      <c r="A12" s="3" t="n">
        <v>46206</v>
      </c>
      <c r="B12" s="4" t="s">
        <v>47</v>
      </c>
      <c r="C12" s="4" t="s">
        <v>24</v>
      </c>
      <c r="D12" s="4" t="s">
        <v>30</v>
      </c>
      <c r="E12" s="4" t="s">
        <v>31</v>
      </c>
      <c r="F12" s="5" t="n">
        <v>8448</v>
      </c>
      <c r="G12" s="5" t="n">
        <v>8563</v>
      </c>
      <c r="H12" s="5" t="n">
        <v>158</v>
      </c>
      <c r="I12" s="5" t="n">
        <v>480</v>
      </c>
      <c r="J12" s="5" t="n">
        <v>16</v>
      </c>
      <c r="K12" s="4" t="n">
        <v>20</v>
      </c>
      <c r="L12" s="5" t="n">
        <v>8867</v>
      </c>
      <c r="M12" s="5" t="n">
        <v>1172</v>
      </c>
      <c r="N12" s="4" t="n">
        <v>48</v>
      </c>
      <c r="O12" s="6" t="n">
        <v>0.74</v>
      </c>
      <c r="P12" s="4" t="s">
        <v>21</v>
      </c>
      <c r="Q12" s="4" t="s">
        <v>22</v>
      </c>
    </row>
    <row r="13" customFormat="false" ht="15" hidden="false" customHeight="false" outlineLevel="0" collapsed="false">
      <c r="A13" s="3" t="n">
        <v>46206</v>
      </c>
      <c r="B13" s="4" t="s">
        <v>48</v>
      </c>
      <c r="C13" s="4" t="s">
        <v>29</v>
      </c>
      <c r="D13" s="4" t="s">
        <v>34</v>
      </c>
      <c r="E13" s="4" t="s">
        <v>35</v>
      </c>
      <c r="F13" s="5" t="n">
        <v>2112</v>
      </c>
      <c r="G13" s="5" t="n">
        <v>1480</v>
      </c>
      <c r="H13" s="5" t="n">
        <v>73</v>
      </c>
      <c r="I13" s="5" t="n">
        <v>480</v>
      </c>
      <c r="J13" s="5" t="n">
        <v>128</v>
      </c>
      <c r="K13" s="4" t="n">
        <v>5</v>
      </c>
      <c r="L13" s="5" t="n">
        <v>1542</v>
      </c>
      <c r="M13" s="5" t="n">
        <v>820</v>
      </c>
      <c r="N13" s="4" t="n">
        <v>48</v>
      </c>
      <c r="O13" s="6" t="n">
        <v>2.96</v>
      </c>
      <c r="P13" s="4" t="s">
        <v>38</v>
      </c>
      <c r="Q13" s="4" t="s">
        <v>22</v>
      </c>
    </row>
    <row r="14" customFormat="false" ht="15" hidden="false" customHeight="false" outlineLevel="0" collapsed="false">
      <c r="A14" s="3" t="n">
        <v>46207</v>
      </c>
      <c r="B14" s="4" t="s">
        <v>49</v>
      </c>
      <c r="C14" s="4" t="s">
        <v>18</v>
      </c>
      <c r="D14" s="4" t="s">
        <v>19</v>
      </c>
      <c r="E14" s="4" t="s">
        <v>37</v>
      </c>
      <c r="F14" s="5" t="n">
        <v>2534</v>
      </c>
      <c r="G14" s="5" t="n">
        <v>2562</v>
      </c>
      <c r="H14" s="5" t="n">
        <v>100</v>
      </c>
      <c r="I14" s="5" t="n">
        <v>480</v>
      </c>
      <c r="J14" s="5" t="n">
        <v>33</v>
      </c>
      <c r="K14" s="4" t="n">
        <v>6</v>
      </c>
      <c r="L14" s="5" t="n">
        <v>2643</v>
      </c>
      <c r="M14" s="5" t="n">
        <v>1537</v>
      </c>
      <c r="N14" s="4" t="n">
        <v>48</v>
      </c>
      <c r="O14" s="6" t="n">
        <v>2.06</v>
      </c>
      <c r="P14" s="4" t="s">
        <v>50</v>
      </c>
      <c r="Q14" s="4" t="s">
        <v>22</v>
      </c>
    </row>
    <row r="15" customFormat="false" ht="15" hidden="false" customHeight="false" outlineLevel="0" collapsed="false">
      <c r="A15" s="3" t="n">
        <v>46207</v>
      </c>
      <c r="B15" s="4" t="s">
        <v>51</v>
      </c>
      <c r="C15" s="4" t="s">
        <v>24</v>
      </c>
      <c r="D15" s="4" t="s">
        <v>25</v>
      </c>
      <c r="E15" s="4" t="s">
        <v>40</v>
      </c>
      <c r="F15" s="5" t="n">
        <v>5069</v>
      </c>
      <c r="G15" s="5" t="n">
        <v>5126</v>
      </c>
      <c r="H15" s="5" t="n">
        <v>114</v>
      </c>
      <c r="I15" s="5" t="n">
        <v>480</v>
      </c>
      <c r="J15" s="5" t="n">
        <v>0</v>
      </c>
      <c r="K15" s="4" t="n">
        <v>12</v>
      </c>
      <c r="L15" s="5" t="n">
        <v>5332</v>
      </c>
      <c r="M15" s="5" t="n">
        <v>1431</v>
      </c>
      <c r="N15" s="4" t="n">
        <v>48</v>
      </c>
      <c r="O15" s="6" t="n">
        <v>1.32</v>
      </c>
      <c r="P15" s="4" t="s">
        <v>32</v>
      </c>
      <c r="Q15" s="4" t="s">
        <v>22</v>
      </c>
    </row>
    <row r="16" customFormat="false" ht="15" hidden="false" customHeight="false" outlineLevel="0" collapsed="false">
      <c r="A16" s="3" t="n">
        <v>46207</v>
      </c>
      <c r="B16" s="4" t="s">
        <v>52</v>
      </c>
      <c r="C16" s="4" t="s">
        <v>29</v>
      </c>
      <c r="D16" s="4" t="s">
        <v>30</v>
      </c>
      <c r="E16" s="4" t="s">
        <v>42</v>
      </c>
      <c r="F16" s="5" t="n">
        <v>10560</v>
      </c>
      <c r="G16" s="5" t="n">
        <v>10716</v>
      </c>
      <c r="H16" s="5" t="n">
        <v>77</v>
      </c>
      <c r="I16" s="5" t="n">
        <v>480</v>
      </c>
      <c r="J16" s="5" t="n">
        <v>0</v>
      </c>
      <c r="K16" s="4" t="n">
        <v>25</v>
      </c>
      <c r="L16" s="5" t="n">
        <v>11071</v>
      </c>
      <c r="M16" s="5" t="n">
        <v>1162</v>
      </c>
      <c r="N16" s="4" t="n">
        <v>48</v>
      </c>
      <c r="O16" s="6" t="n">
        <v>0.41</v>
      </c>
      <c r="P16" s="4" t="s">
        <v>32</v>
      </c>
      <c r="Q16" s="4" t="s">
        <v>22</v>
      </c>
    </row>
    <row r="17" customFormat="false" ht="15" hidden="false" customHeight="false" outlineLevel="0" collapsed="false">
      <c r="A17" s="3" t="n">
        <v>46207</v>
      </c>
      <c r="B17" s="4" t="s">
        <v>53</v>
      </c>
      <c r="C17" s="4" t="s">
        <v>18</v>
      </c>
      <c r="D17" s="4" t="s">
        <v>34</v>
      </c>
      <c r="E17" s="4" t="s">
        <v>44</v>
      </c>
      <c r="F17" s="5" t="n">
        <v>3379</v>
      </c>
      <c r="G17" s="5" t="n">
        <v>3420</v>
      </c>
      <c r="H17" s="5" t="n">
        <v>66</v>
      </c>
      <c r="I17" s="5" t="n">
        <v>480</v>
      </c>
      <c r="J17" s="5" t="n">
        <v>0</v>
      </c>
      <c r="K17" s="4" t="n">
        <v>8</v>
      </c>
      <c r="L17" s="5" t="n">
        <v>3581</v>
      </c>
      <c r="M17" s="5" t="n">
        <v>2608</v>
      </c>
      <c r="N17" s="4" t="n">
        <v>48</v>
      </c>
      <c r="O17" s="6" t="n">
        <v>2.24</v>
      </c>
      <c r="P17" s="4" t="s">
        <v>32</v>
      </c>
      <c r="Q17" s="4" t="s">
        <v>22</v>
      </c>
    </row>
    <row r="18" customFormat="false" ht="15" hidden="false" customHeight="false" outlineLevel="0" collapsed="false">
      <c r="A18" s="3" t="n">
        <v>46208</v>
      </c>
      <c r="B18" s="4" t="s">
        <v>54</v>
      </c>
      <c r="C18" s="4" t="s">
        <v>24</v>
      </c>
      <c r="D18" s="4" t="s">
        <v>19</v>
      </c>
      <c r="E18" s="4" t="s">
        <v>20</v>
      </c>
      <c r="F18" s="5" t="n">
        <v>3802</v>
      </c>
      <c r="G18" s="5" t="n">
        <v>3299</v>
      </c>
      <c r="H18" s="5" t="n">
        <v>65</v>
      </c>
      <c r="I18" s="5" t="n">
        <v>480</v>
      </c>
      <c r="J18" s="5" t="n">
        <v>60</v>
      </c>
      <c r="K18" s="4" t="n">
        <v>9</v>
      </c>
      <c r="L18" s="5" t="n">
        <v>3427</v>
      </c>
      <c r="M18" s="5" t="n">
        <v>1415</v>
      </c>
      <c r="N18" s="4" t="n">
        <v>48</v>
      </c>
      <c r="O18" s="6" t="n">
        <v>1.07</v>
      </c>
      <c r="P18" s="4" t="s">
        <v>55</v>
      </c>
      <c r="Q18" s="4" t="s">
        <v>22</v>
      </c>
    </row>
    <row r="19" customFormat="false" ht="15" hidden="false" customHeight="false" outlineLevel="0" collapsed="false">
      <c r="A19" s="3" t="n">
        <v>46208</v>
      </c>
      <c r="B19" s="4" t="s">
        <v>56</v>
      </c>
      <c r="C19" s="4" t="s">
        <v>29</v>
      </c>
      <c r="D19" s="4" t="s">
        <v>25</v>
      </c>
      <c r="E19" s="4" t="s">
        <v>26</v>
      </c>
      <c r="F19" s="5" t="n">
        <v>1690</v>
      </c>
      <c r="G19" s="5" t="n">
        <v>1483</v>
      </c>
      <c r="H19" s="5" t="n">
        <v>38</v>
      </c>
      <c r="I19" s="5" t="n">
        <v>480</v>
      </c>
      <c r="J19" s="5" t="n">
        <v>49</v>
      </c>
      <c r="K19" s="4" t="n">
        <v>4</v>
      </c>
      <c r="L19" s="5" t="n">
        <v>1557</v>
      </c>
      <c r="M19" s="5" t="n">
        <v>840</v>
      </c>
      <c r="N19" s="4" t="n">
        <v>48</v>
      </c>
      <c r="O19" s="6" t="n">
        <v>4.58</v>
      </c>
      <c r="P19" s="4" t="s">
        <v>55</v>
      </c>
      <c r="Q19" s="4" t="s">
        <v>22</v>
      </c>
    </row>
    <row r="20" customFormat="false" ht="15" hidden="false" customHeight="false" outlineLevel="0" collapsed="false">
      <c r="A20" s="3" t="n">
        <v>46208</v>
      </c>
      <c r="B20" s="4" t="s">
        <v>57</v>
      </c>
      <c r="C20" s="4" t="s">
        <v>18</v>
      </c>
      <c r="D20" s="4" t="s">
        <v>30</v>
      </c>
      <c r="E20" s="4" t="s">
        <v>31</v>
      </c>
      <c r="F20" s="5" t="n">
        <v>8448</v>
      </c>
      <c r="G20" s="5" t="n">
        <v>8398</v>
      </c>
      <c r="H20" s="5" t="n">
        <v>99</v>
      </c>
      <c r="I20" s="5" t="n">
        <v>480</v>
      </c>
      <c r="J20" s="5" t="n">
        <v>23</v>
      </c>
      <c r="K20" s="4" t="n">
        <v>20</v>
      </c>
      <c r="L20" s="5" t="n">
        <v>8654</v>
      </c>
      <c r="M20" s="5" t="n">
        <v>1152</v>
      </c>
      <c r="N20" s="4" t="n">
        <v>48</v>
      </c>
      <c r="O20" s="6" t="n">
        <v>0.76</v>
      </c>
      <c r="P20" s="4" t="s">
        <v>50</v>
      </c>
      <c r="Q20" s="4" t="s">
        <v>22</v>
      </c>
    </row>
    <row r="21" customFormat="false" ht="15" hidden="false" customHeight="false" outlineLevel="0" collapsed="false">
      <c r="A21" s="3" t="n">
        <v>46208</v>
      </c>
      <c r="B21" s="4" t="s">
        <v>58</v>
      </c>
      <c r="C21" s="4" t="s">
        <v>24</v>
      </c>
      <c r="D21" s="4" t="s">
        <v>34</v>
      </c>
      <c r="E21" s="4" t="s">
        <v>35</v>
      </c>
      <c r="F21" s="5" t="n">
        <v>2112</v>
      </c>
      <c r="G21" s="5" t="n">
        <v>2270</v>
      </c>
      <c r="H21" s="5" t="n">
        <v>52</v>
      </c>
      <c r="I21" s="5" t="n">
        <v>480</v>
      </c>
      <c r="J21" s="5" t="n">
        <v>0</v>
      </c>
      <c r="K21" s="4" t="n">
        <v>5</v>
      </c>
      <c r="L21" s="5" t="n">
        <v>2340</v>
      </c>
      <c r="M21" s="5" t="n">
        <v>1291</v>
      </c>
      <c r="N21" s="4" t="n">
        <v>48</v>
      </c>
      <c r="O21" s="6" t="n">
        <v>2.95</v>
      </c>
      <c r="P21" s="4" t="s">
        <v>32</v>
      </c>
      <c r="Q21" s="4" t="s">
        <v>22</v>
      </c>
    </row>
    <row r="22" customFormat="false" ht="15" hidden="false" customHeight="false" outlineLevel="0" collapsed="false">
      <c r="A22" s="3" t="n">
        <v>46209</v>
      </c>
      <c r="B22" s="4" t="s">
        <v>59</v>
      </c>
      <c r="C22" s="4" t="s">
        <v>29</v>
      </c>
      <c r="D22" s="4" t="s">
        <v>19</v>
      </c>
      <c r="E22" s="4" t="s">
        <v>37</v>
      </c>
      <c r="F22" s="5" t="n">
        <v>2534</v>
      </c>
      <c r="G22" s="5" t="n">
        <v>2584</v>
      </c>
      <c r="H22" s="5" t="n">
        <v>91</v>
      </c>
      <c r="I22" s="5" t="n">
        <v>480</v>
      </c>
      <c r="J22" s="5" t="n">
        <v>0</v>
      </c>
      <c r="K22" s="4" t="n">
        <v>6</v>
      </c>
      <c r="L22" s="5" t="n">
        <v>2699</v>
      </c>
      <c r="M22" s="5" t="n">
        <v>1646</v>
      </c>
      <c r="N22" s="4" t="n">
        <v>48</v>
      </c>
      <c r="O22" s="6" t="n">
        <v>2.06</v>
      </c>
      <c r="P22" s="4" t="s">
        <v>32</v>
      </c>
      <c r="Q22" s="4" t="s">
        <v>22</v>
      </c>
    </row>
    <row r="23" customFormat="false" ht="15" hidden="false" customHeight="false" outlineLevel="0" collapsed="false">
      <c r="A23" s="3" t="n">
        <v>46209</v>
      </c>
      <c r="B23" s="4" t="s">
        <v>60</v>
      </c>
      <c r="C23" s="4" t="s">
        <v>18</v>
      </c>
      <c r="D23" s="4" t="s">
        <v>25</v>
      </c>
      <c r="E23" s="4" t="s">
        <v>40</v>
      </c>
      <c r="F23" s="5" t="n">
        <v>5069</v>
      </c>
      <c r="G23" s="5" t="n">
        <v>4937</v>
      </c>
      <c r="H23" s="5" t="n">
        <v>112</v>
      </c>
      <c r="I23" s="5" t="n">
        <v>480</v>
      </c>
      <c r="J23" s="5" t="n">
        <v>39</v>
      </c>
      <c r="K23" s="4" t="n">
        <v>12</v>
      </c>
      <c r="L23" s="5" t="n">
        <v>5182</v>
      </c>
      <c r="M23" s="5" t="n">
        <v>1362</v>
      </c>
      <c r="N23" s="4" t="n">
        <v>48</v>
      </c>
      <c r="O23" s="6" t="n">
        <v>1.29</v>
      </c>
      <c r="P23" s="4" t="s">
        <v>50</v>
      </c>
      <c r="Q23" s="4" t="s">
        <v>22</v>
      </c>
    </row>
    <row r="24" customFormat="false" ht="15" hidden="false" customHeight="false" outlineLevel="0" collapsed="false">
      <c r="A24" s="3" t="n">
        <v>46209</v>
      </c>
      <c r="B24" s="4" t="s">
        <v>61</v>
      </c>
      <c r="C24" s="4" t="s">
        <v>24</v>
      </c>
      <c r="D24" s="4" t="s">
        <v>30</v>
      </c>
      <c r="E24" s="4" t="s">
        <v>42</v>
      </c>
      <c r="F24" s="5" t="n">
        <v>10560</v>
      </c>
      <c r="G24" s="5" t="n">
        <v>10618</v>
      </c>
      <c r="H24" s="5" t="n">
        <v>80</v>
      </c>
      <c r="I24" s="5" t="n">
        <v>480</v>
      </c>
      <c r="J24" s="5" t="n">
        <v>0</v>
      </c>
      <c r="K24" s="4" t="n">
        <v>25</v>
      </c>
      <c r="L24" s="5" t="n">
        <v>11003</v>
      </c>
      <c r="M24" s="5" t="n">
        <v>1254</v>
      </c>
      <c r="N24" s="4" t="n">
        <v>48</v>
      </c>
      <c r="O24" s="6" t="n">
        <v>0.39</v>
      </c>
      <c r="P24" s="4" t="s">
        <v>32</v>
      </c>
      <c r="Q24" s="4" t="s">
        <v>22</v>
      </c>
    </row>
    <row r="25" customFormat="false" ht="15" hidden="false" customHeight="false" outlineLevel="0" collapsed="false">
      <c r="A25" s="3" t="n">
        <v>46209</v>
      </c>
      <c r="B25" s="4" t="s">
        <v>62</v>
      </c>
      <c r="C25" s="4" t="s">
        <v>29</v>
      </c>
      <c r="D25" s="4" t="s">
        <v>34</v>
      </c>
      <c r="E25" s="4" t="s">
        <v>44</v>
      </c>
      <c r="F25" s="5" t="n">
        <v>3379</v>
      </c>
      <c r="G25" s="5" t="n">
        <v>3396</v>
      </c>
      <c r="H25" s="5" t="n">
        <v>158</v>
      </c>
      <c r="I25" s="5" t="n">
        <v>480</v>
      </c>
      <c r="J25" s="5" t="n">
        <v>0</v>
      </c>
      <c r="K25" s="4" t="n">
        <v>8</v>
      </c>
      <c r="L25" s="5" t="n">
        <v>3528</v>
      </c>
      <c r="M25" s="5" t="n">
        <v>2164</v>
      </c>
      <c r="N25" s="4" t="n">
        <v>48</v>
      </c>
      <c r="O25" s="6" t="n">
        <v>2.37</v>
      </c>
      <c r="P25" s="4" t="s">
        <v>32</v>
      </c>
      <c r="Q25" s="4" t="s">
        <v>22</v>
      </c>
    </row>
    <row r="26" customFormat="false" ht="15" hidden="false" customHeight="false" outlineLevel="0" collapsed="false">
      <c r="A26" s="3" t="n">
        <v>46210</v>
      </c>
      <c r="B26" s="4" t="s">
        <v>63</v>
      </c>
      <c r="C26" s="4" t="s">
        <v>18</v>
      </c>
      <c r="D26" s="4" t="s">
        <v>19</v>
      </c>
      <c r="E26" s="4" t="s">
        <v>20</v>
      </c>
      <c r="F26" s="5" t="n">
        <v>3802</v>
      </c>
      <c r="G26" s="5" t="n">
        <v>4115</v>
      </c>
      <c r="H26" s="5" t="n">
        <v>105</v>
      </c>
      <c r="I26" s="5" t="n">
        <v>480</v>
      </c>
      <c r="J26" s="5" t="n">
        <v>0</v>
      </c>
      <c r="K26" s="4" t="n">
        <v>9</v>
      </c>
      <c r="L26" s="5" t="n">
        <v>4235</v>
      </c>
      <c r="M26" s="5" t="n">
        <v>1846</v>
      </c>
      <c r="N26" s="4" t="n">
        <v>48</v>
      </c>
      <c r="O26" s="6" t="n">
        <v>1.03</v>
      </c>
      <c r="P26" s="4" t="s">
        <v>32</v>
      </c>
      <c r="Q26" s="4" t="s">
        <v>22</v>
      </c>
    </row>
    <row r="27" customFormat="false" ht="15" hidden="false" customHeight="false" outlineLevel="0" collapsed="false">
      <c r="A27" s="3" t="n">
        <v>46210</v>
      </c>
      <c r="B27" s="4" t="s">
        <v>64</v>
      </c>
      <c r="C27" s="4" t="s">
        <v>24</v>
      </c>
      <c r="D27" s="4" t="s">
        <v>25</v>
      </c>
      <c r="E27" s="4" t="s">
        <v>26</v>
      </c>
      <c r="F27" s="5" t="n">
        <v>1690</v>
      </c>
      <c r="G27" s="5" t="n">
        <v>1574</v>
      </c>
      <c r="H27" s="5" t="n">
        <v>48</v>
      </c>
      <c r="I27" s="5" t="n">
        <v>480</v>
      </c>
      <c r="J27" s="5" t="n">
        <v>36</v>
      </c>
      <c r="K27" s="4" t="n">
        <v>4</v>
      </c>
      <c r="L27" s="5" t="n">
        <v>1631</v>
      </c>
      <c r="M27" s="5" t="n">
        <v>852</v>
      </c>
      <c r="N27" s="4" t="n">
        <v>48</v>
      </c>
      <c r="O27" s="6" t="n">
        <v>4.73</v>
      </c>
      <c r="P27" s="4" t="s">
        <v>65</v>
      </c>
      <c r="Q27" s="4" t="s">
        <v>22</v>
      </c>
    </row>
    <row r="28" customFormat="false" ht="15" hidden="false" customHeight="false" outlineLevel="0" collapsed="false">
      <c r="A28" s="3" t="n">
        <v>46210</v>
      </c>
      <c r="B28" s="4" t="s">
        <v>66</v>
      </c>
      <c r="C28" s="4" t="s">
        <v>29</v>
      </c>
      <c r="D28" s="4" t="s">
        <v>30</v>
      </c>
      <c r="E28" s="4" t="s">
        <v>31</v>
      </c>
      <c r="F28" s="5" t="n">
        <v>8448</v>
      </c>
      <c r="G28" s="5" t="n">
        <v>7392</v>
      </c>
      <c r="H28" s="5" t="n">
        <v>183</v>
      </c>
      <c r="I28" s="5" t="n">
        <v>480</v>
      </c>
      <c r="J28" s="5" t="n">
        <v>55</v>
      </c>
      <c r="K28" s="4" t="n">
        <v>20</v>
      </c>
      <c r="L28" s="5" t="n">
        <v>7684</v>
      </c>
      <c r="M28" s="5" t="n">
        <v>1118</v>
      </c>
      <c r="N28" s="4" t="n">
        <v>48</v>
      </c>
      <c r="O28" s="6" t="n">
        <v>0.76</v>
      </c>
      <c r="P28" s="4" t="s">
        <v>21</v>
      </c>
      <c r="Q28" s="4" t="s">
        <v>22</v>
      </c>
    </row>
    <row r="29" customFormat="false" ht="15" hidden="false" customHeight="false" outlineLevel="0" collapsed="false">
      <c r="A29" s="3" t="n">
        <v>46210</v>
      </c>
      <c r="B29" s="4" t="s">
        <v>67</v>
      </c>
      <c r="C29" s="4" t="s">
        <v>18</v>
      </c>
      <c r="D29" s="4" t="s">
        <v>34</v>
      </c>
      <c r="E29" s="4" t="s">
        <v>35</v>
      </c>
      <c r="F29" s="5" t="n">
        <v>2112</v>
      </c>
      <c r="G29" s="5" t="n">
        <v>1940</v>
      </c>
      <c r="H29" s="5" t="n">
        <v>93</v>
      </c>
      <c r="I29" s="5" t="n">
        <v>480</v>
      </c>
      <c r="J29" s="5" t="n">
        <v>37</v>
      </c>
      <c r="K29" s="4" t="n">
        <v>5</v>
      </c>
      <c r="L29" s="5" t="n">
        <v>1992</v>
      </c>
      <c r="M29" s="5" t="n">
        <v>1000</v>
      </c>
      <c r="N29" s="4" t="n">
        <v>48</v>
      </c>
      <c r="O29" s="6" t="n">
        <v>3.02</v>
      </c>
      <c r="P29" s="4" t="s">
        <v>38</v>
      </c>
      <c r="Q29" s="4" t="s">
        <v>22</v>
      </c>
    </row>
    <row r="30" customFormat="false" ht="15" hidden="false" customHeight="false" outlineLevel="0" collapsed="false">
      <c r="A30" s="3" t="n">
        <v>46211</v>
      </c>
      <c r="B30" s="4" t="s">
        <v>68</v>
      </c>
      <c r="C30" s="4" t="s">
        <v>24</v>
      </c>
      <c r="D30" s="4" t="s">
        <v>19</v>
      </c>
      <c r="E30" s="4" t="s">
        <v>37</v>
      </c>
      <c r="F30" s="5" t="n">
        <v>2534</v>
      </c>
      <c r="G30" s="5" t="n">
        <v>2447</v>
      </c>
      <c r="H30" s="5" t="n">
        <v>79</v>
      </c>
      <c r="I30" s="5" t="n">
        <v>480</v>
      </c>
      <c r="J30" s="5" t="n">
        <v>19</v>
      </c>
      <c r="K30" s="4" t="n">
        <v>6</v>
      </c>
      <c r="L30" s="5" t="n">
        <v>2546</v>
      </c>
      <c r="M30" s="5" t="n">
        <v>1444</v>
      </c>
      <c r="N30" s="4" t="n">
        <v>48</v>
      </c>
      <c r="O30" s="6" t="n">
        <v>2.11</v>
      </c>
      <c r="P30" s="4" t="s">
        <v>69</v>
      </c>
      <c r="Q30" s="4" t="s">
        <v>22</v>
      </c>
    </row>
    <row r="31" customFormat="false" ht="15" hidden="false" customHeight="false" outlineLevel="0" collapsed="false">
      <c r="A31" s="3" t="n">
        <v>46211</v>
      </c>
      <c r="B31" s="4" t="s">
        <v>70</v>
      </c>
      <c r="C31" s="4" t="s">
        <v>29</v>
      </c>
      <c r="D31" s="4" t="s">
        <v>25</v>
      </c>
      <c r="E31" s="4" t="s">
        <v>40</v>
      </c>
      <c r="F31" s="5" t="n">
        <v>5069</v>
      </c>
      <c r="G31" s="5" t="n">
        <v>4956</v>
      </c>
      <c r="H31" s="5" t="n">
        <v>140</v>
      </c>
      <c r="I31" s="5" t="n">
        <v>480</v>
      </c>
      <c r="J31" s="5" t="n">
        <v>0</v>
      </c>
      <c r="K31" s="4" t="n">
        <v>12</v>
      </c>
      <c r="L31" s="5" t="n">
        <v>5109</v>
      </c>
      <c r="M31" s="5" t="n">
        <v>1456</v>
      </c>
      <c r="N31" s="4" t="n">
        <v>48</v>
      </c>
      <c r="O31" s="6" t="n">
        <v>1.31</v>
      </c>
      <c r="P31" s="4" t="s">
        <v>32</v>
      </c>
      <c r="Q31" s="4" t="s">
        <v>22</v>
      </c>
    </row>
    <row r="32" customFormat="false" ht="15" hidden="false" customHeight="false" outlineLevel="0" collapsed="false">
      <c r="A32" s="3" t="n">
        <v>46211</v>
      </c>
      <c r="B32" s="4" t="s">
        <v>71</v>
      </c>
      <c r="C32" s="4" t="s">
        <v>18</v>
      </c>
      <c r="D32" s="4" t="s">
        <v>30</v>
      </c>
      <c r="E32" s="4" t="s">
        <v>42</v>
      </c>
      <c r="F32" s="5" t="n">
        <v>10560</v>
      </c>
      <c r="G32" s="5" t="n">
        <v>9534</v>
      </c>
      <c r="H32" s="5" t="n">
        <v>133</v>
      </c>
      <c r="I32" s="5" t="n">
        <v>480</v>
      </c>
      <c r="J32" s="5" t="n">
        <v>59</v>
      </c>
      <c r="K32" s="4" t="n">
        <v>25</v>
      </c>
      <c r="L32" s="5" t="n">
        <v>10010</v>
      </c>
      <c r="M32" s="5" t="n">
        <v>1046</v>
      </c>
      <c r="N32" s="4" t="n">
        <v>48</v>
      </c>
      <c r="O32" s="6" t="n">
        <v>0.39</v>
      </c>
      <c r="P32" s="4" t="s">
        <v>21</v>
      </c>
      <c r="Q32" s="4" t="s">
        <v>22</v>
      </c>
    </row>
    <row r="33" customFormat="false" ht="15" hidden="false" customHeight="false" outlineLevel="0" collapsed="false">
      <c r="A33" s="3" t="n">
        <v>46211</v>
      </c>
      <c r="B33" s="4" t="s">
        <v>72</v>
      </c>
      <c r="C33" s="4" t="s">
        <v>24</v>
      </c>
      <c r="D33" s="4" t="s">
        <v>34</v>
      </c>
      <c r="E33" s="4" t="s">
        <v>44</v>
      </c>
      <c r="F33" s="5" t="n">
        <v>3379</v>
      </c>
      <c r="G33" s="5" t="n">
        <v>3641</v>
      </c>
      <c r="H33" s="5" t="n">
        <v>142</v>
      </c>
      <c r="I33" s="5" t="n">
        <v>480</v>
      </c>
      <c r="J33" s="5" t="n">
        <v>0</v>
      </c>
      <c r="K33" s="4" t="n">
        <v>8</v>
      </c>
      <c r="L33" s="5" t="n">
        <v>3766</v>
      </c>
      <c r="M33" s="5" t="n">
        <v>2374</v>
      </c>
      <c r="N33" s="4" t="n">
        <v>48</v>
      </c>
      <c r="O33" s="6" t="n">
        <v>2.35</v>
      </c>
      <c r="P33" s="4" t="s">
        <v>32</v>
      </c>
      <c r="Q33" s="4" t="s">
        <v>22</v>
      </c>
    </row>
    <row r="34" customFormat="false" ht="15" hidden="false" customHeight="false" outlineLevel="0" collapsed="false">
      <c r="A34" s="3" t="n">
        <v>46212</v>
      </c>
      <c r="B34" s="4" t="s">
        <v>73</v>
      </c>
      <c r="C34" s="4" t="s">
        <v>29</v>
      </c>
      <c r="D34" s="4" t="s">
        <v>19</v>
      </c>
      <c r="E34" s="4" t="s">
        <v>20</v>
      </c>
      <c r="F34" s="5" t="n">
        <v>3802</v>
      </c>
      <c r="G34" s="5" t="n">
        <v>2467</v>
      </c>
      <c r="H34" s="5" t="n">
        <v>74</v>
      </c>
      <c r="I34" s="5" t="n">
        <v>480</v>
      </c>
      <c r="J34" s="5" t="n">
        <v>154</v>
      </c>
      <c r="K34" s="4" t="n">
        <v>9</v>
      </c>
      <c r="L34" s="5" t="n">
        <v>2547</v>
      </c>
      <c r="M34" s="5" t="n">
        <v>1146</v>
      </c>
      <c r="N34" s="4" t="n">
        <v>48</v>
      </c>
      <c r="O34" s="6" t="n">
        <v>1.08</v>
      </c>
      <c r="P34" s="4" t="s">
        <v>27</v>
      </c>
      <c r="Q34" s="4" t="s">
        <v>22</v>
      </c>
    </row>
    <row r="35" customFormat="false" ht="15" hidden="false" customHeight="false" outlineLevel="0" collapsed="false">
      <c r="A35" s="3" t="n">
        <v>46212</v>
      </c>
      <c r="B35" s="4" t="s">
        <v>74</v>
      </c>
      <c r="C35" s="4" t="s">
        <v>18</v>
      </c>
      <c r="D35" s="4" t="s">
        <v>25</v>
      </c>
      <c r="E35" s="4" t="s">
        <v>26</v>
      </c>
      <c r="F35" s="5" t="n">
        <v>1690</v>
      </c>
      <c r="G35" s="5" t="n">
        <v>1633</v>
      </c>
      <c r="H35" s="5" t="n">
        <v>44</v>
      </c>
      <c r="I35" s="5" t="n">
        <v>480</v>
      </c>
      <c r="J35" s="5" t="n">
        <v>20</v>
      </c>
      <c r="K35" s="4" t="n">
        <v>4</v>
      </c>
      <c r="L35" s="5" t="n">
        <v>1703</v>
      </c>
      <c r="M35" s="5" t="n">
        <v>845</v>
      </c>
      <c r="N35" s="4" t="n">
        <v>48</v>
      </c>
      <c r="O35" s="6" t="n">
        <v>4.64</v>
      </c>
      <c r="P35" s="4" t="s">
        <v>27</v>
      </c>
      <c r="Q35" s="4" t="s">
        <v>22</v>
      </c>
    </row>
    <row r="36" customFormat="false" ht="15" hidden="false" customHeight="false" outlineLevel="0" collapsed="false">
      <c r="A36" s="3" t="n">
        <v>46212</v>
      </c>
      <c r="B36" s="4" t="s">
        <v>75</v>
      </c>
      <c r="C36" s="4" t="s">
        <v>24</v>
      </c>
      <c r="D36" s="4" t="s">
        <v>30</v>
      </c>
      <c r="E36" s="4" t="s">
        <v>31</v>
      </c>
      <c r="F36" s="5" t="n">
        <v>8448</v>
      </c>
      <c r="G36" s="5" t="n">
        <v>6780</v>
      </c>
      <c r="H36" s="5" t="n">
        <v>95</v>
      </c>
      <c r="I36" s="5" t="n">
        <v>480</v>
      </c>
      <c r="J36" s="5" t="n">
        <v>90</v>
      </c>
      <c r="K36" s="4" t="n">
        <v>20</v>
      </c>
      <c r="L36" s="5" t="n">
        <v>6996</v>
      </c>
      <c r="M36" s="5" t="n">
        <v>916</v>
      </c>
      <c r="N36" s="4" t="n">
        <v>48</v>
      </c>
      <c r="O36" s="6" t="n">
        <v>0.76</v>
      </c>
      <c r="P36" s="4" t="s">
        <v>38</v>
      </c>
      <c r="Q36" s="4" t="s">
        <v>22</v>
      </c>
    </row>
    <row r="37" customFormat="false" ht="15" hidden="false" customHeight="false" outlineLevel="0" collapsed="false">
      <c r="A37" s="3" t="n">
        <v>46212</v>
      </c>
      <c r="B37" s="4" t="s">
        <v>76</v>
      </c>
      <c r="C37" s="4" t="s">
        <v>29</v>
      </c>
      <c r="D37" s="4" t="s">
        <v>34</v>
      </c>
      <c r="E37" s="4" t="s">
        <v>35</v>
      </c>
      <c r="F37" s="5" t="n">
        <v>2112</v>
      </c>
      <c r="G37" s="5" t="n">
        <v>1863</v>
      </c>
      <c r="H37" s="5" t="n">
        <v>48</v>
      </c>
      <c r="I37" s="5" t="n">
        <v>480</v>
      </c>
      <c r="J37" s="5" t="n">
        <v>58</v>
      </c>
      <c r="K37" s="4" t="n">
        <v>5</v>
      </c>
      <c r="L37" s="5" t="n">
        <v>1913</v>
      </c>
      <c r="M37" s="5" t="n">
        <v>1103</v>
      </c>
      <c r="N37" s="4" t="n">
        <v>48</v>
      </c>
      <c r="O37" s="6" t="n">
        <v>3.07</v>
      </c>
      <c r="P37" s="4" t="s">
        <v>27</v>
      </c>
      <c r="Q37" s="4" t="s">
        <v>22</v>
      </c>
    </row>
    <row r="38" customFormat="false" ht="15" hidden="false" customHeight="false" outlineLevel="0" collapsed="false">
      <c r="A38" s="3" t="n">
        <v>46213</v>
      </c>
      <c r="B38" s="4" t="s">
        <v>77</v>
      </c>
      <c r="C38" s="4" t="s">
        <v>18</v>
      </c>
      <c r="D38" s="4" t="s">
        <v>19</v>
      </c>
      <c r="E38" s="4" t="s">
        <v>37</v>
      </c>
      <c r="F38" s="5" t="n">
        <v>2534</v>
      </c>
      <c r="G38" s="5" t="n">
        <v>2645</v>
      </c>
      <c r="H38" s="5" t="n">
        <v>57</v>
      </c>
      <c r="I38" s="5" t="n">
        <v>480</v>
      </c>
      <c r="J38" s="5" t="n">
        <v>0</v>
      </c>
      <c r="K38" s="4" t="n">
        <v>6</v>
      </c>
      <c r="L38" s="5" t="n">
        <v>2720</v>
      </c>
      <c r="M38" s="5" t="n">
        <v>1526</v>
      </c>
      <c r="N38" s="4" t="n">
        <v>48</v>
      </c>
      <c r="O38" s="6" t="n">
        <v>2.15</v>
      </c>
      <c r="P38" s="4" t="s">
        <v>32</v>
      </c>
      <c r="Q38" s="4" t="s">
        <v>22</v>
      </c>
    </row>
    <row r="39" customFormat="false" ht="15" hidden="false" customHeight="false" outlineLevel="0" collapsed="false">
      <c r="A39" s="3" t="n">
        <v>46213</v>
      </c>
      <c r="B39" s="4" t="s">
        <v>78</v>
      </c>
      <c r="C39" s="4" t="s">
        <v>24</v>
      </c>
      <c r="D39" s="4" t="s">
        <v>25</v>
      </c>
      <c r="E39" s="4" t="s">
        <v>40</v>
      </c>
      <c r="F39" s="5" t="n">
        <v>5069</v>
      </c>
      <c r="G39" s="5" t="n">
        <v>5471</v>
      </c>
      <c r="H39" s="5" t="n">
        <v>84</v>
      </c>
      <c r="I39" s="5" t="n">
        <v>480</v>
      </c>
      <c r="J39" s="5" t="n">
        <v>0</v>
      </c>
      <c r="K39" s="4" t="n">
        <v>12</v>
      </c>
      <c r="L39" s="5" t="n">
        <v>5642</v>
      </c>
      <c r="M39" s="5" t="n">
        <v>1511</v>
      </c>
      <c r="N39" s="4" t="n">
        <v>48</v>
      </c>
      <c r="O39" s="6" t="n">
        <v>1.32</v>
      </c>
      <c r="P39" s="4" t="s">
        <v>32</v>
      </c>
      <c r="Q39" s="4" t="s">
        <v>22</v>
      </c>
    </row>
    <row r="40" customFormat="false" ht="15" hidden="false" customHeight="false" outlineLevel="0" collapsed="false">
      <c r="A40" s="3" t="n">
        <v>46213</v>
      </c>
      <c r="B40" s="4" t="s">
        <v>79</v>
      </c>
      <c r="C40" s="4" t="s">
        <v>29</v>
      </c>
      <c r="D40" s="4" t="s">
        <v>30</v>
      </c>
      <c r="E40" s="4" t="s">
        <v>42</v>
      </c>
      <c r="F40" s="5" t="n">
        <v>10560</v>
      </c>
      <c r="G40" s="5" t="n">
        <v>10123</v>
      </c>
      <c r="H40" s="5" t="n">
        <v>157</v>
      </c>
      <c r="I40" s="5" t="n">
        <v>480</v>
      </c>
      <c r="J40" s="5" t="n">
        <v>46</v>
      </c>
      <c r="K40" s="4" t="n">
        <v>25</v>
      </c>
      <c r="L40" s="5" t="n">
        <v>10623</v>
      </c>
      <c r="M40" s="5" t="n">
        <v>1290</v>
      </c>
      <c r="N40" s="4" t="n">
        <v>48</v>
      </c>
      <c r="O40" s="6" t="n">
        <v>0.41</v>
      </c>
      <c r="P40" s="4" t="s">
        <v>21</v>
      </c>
      <c r="Q40" s="4" t="s">
        <v>22</v>
      </c>
    </row>
    <row r="41" customFormat="false" ht="15" hidden="false" customHeight="false" outlineLevel="0" collapsed="false">
      <c r="A41" s="3" t="n">
        <v>46213</v>
      </c>
      <c r="B41" s="4" t="s">
        <v>80</v>
      </c>
      <c r="C41" s="4" t="s">
        <v>18</v>
      </c>
      <c r="D41" s="4" t="s">
        <v>34</v>
      </c>
      <c r="E41" s="4" t="s">
        <v>44</v>
      </c>
      <c r="F41" s="5" t="n">
        <v>3379</v>
      </c>
      <c r="G41" s="5" t="n">
        <v>3407</v>
      </c>
      <c r="H41" s="5" t="n">
        <v>132</v>
      </c>
      <c r="I41" s="5" t="n">
        <v>480</v>
      </c>
      <c r="J41" s="5" t="n">
        <v>27</v>
      </c>
      <c r="K41" s="4" t="n">
        <v>8</v>
      </c>
      <c r="L41" s="5" t="n">
        <v>3561</v>
      </c>
      <c r="M41" s="5" t="n">
        <v>2274</v>
      </c>
      <c r="N41" s="4" t="n">
        <v>48</v>
      </c>
      <c r="O41" s="6" t="n">
        <v>2.34</v>
      </c>
      <c r="P41" s="4" t="s">
        <v>69</v>
      </c>
      <c r="Q41" s="4" t="s">
        <v>22</v>
      </c>
    </row>
    <row r="42" customFormat="false" ht="15" hidden="false" customHeight="false" outlineLevel="0" collapsed="false">
      <c r="A42" s="3" t="n">
        <v>46214</v>
      </c>
      <c r="B42" s="4" t="s">
        <v>81</v>
      </c>
      <c r="C42" s="4" t="s">
        <v>24</v>
      </c>
      <c r="D42" s="4" t="s">
        <v>19</v>
      </c>
      <c r="E42" s="4" t="s">
        <v>20</v>
      </c>
      <c r="F42" s="5" t="n">
        <v>3802</v>
      </c>
      <c r="G42" s="5" t="n">
        <v>4086</v>
      </c>
      <c r="H42" s="5" t="n">
        <v>64</v>
      </c>
      <c r="I42" s="5" t="n">
        <v>480</v>
      </c>
      <c r="J42" s="5" t="n">
        <v>0</v>
      </c>
      <c r="K42" s="4" t="n">
        <v>9</v>
      </c>
      <c r="L42" s="5" t="n">
        <v>4272</v>
      </c>
      <c r="M42" s="5" t="n">
        <v>1824</v>
      </c>
      <c r="N42" s="4" t="n">
        <v>48</v>
      </c>
      <c r="O42" s="6" t="n">
        <v>1.04</v>
      </c>
      <c r="P42" s="4" t="s">
        <v>32</v>
      </c>
      <c r="Q42" s="4" t="s">
        <v>22</v>
      </c>
    </row>
    <row r="43" customFormat="false" ht="15" hidden="false" customHeight="false" outlineLevel="0" collapsed="false">
      <c r="A43" s="3" t="n">
        <v>46214</v>
      </c>
      <c r="B43" s="4" t="s">
        <v>82</v>
      </c>
      <c r="C43" s="4" t="s">
        <v>29</v>
      </c>
      <c r="D43" s="4" t="s">
        <v>25</v>
      </c>
      <c r="E43" s="4" t="s">
        <v>26</v>
      </c>
      <c r="F43" s="5" t="n">
        <v>1690</v>
      </c>
      <c r="G43" s="5" t="n">
        <v>1620</v>
      </c>
      <c r="H43" s="5" t="n">
        <v>63</v>
      </c>
      <c r="I43" s="5" t="n">
        <v>480</v>
      </c>
      <c r="J43" s="5" t="n">
        <v>16</v>
      </c>
      <c r="K43" s="4" t="n">
        <v>4</v>
      </c>
      <c r="L43" s="5" t="n">
        <v>1700</v>
      </c>
      <c r="M43" s="5" t="n">
        <v>852</v>
      </c>
      <c r="N43" s="4" t="n">
        <v>48</v>
      </c>
      <c r="O43" s="6" t="n">
        <v>4.64</v>
      </c>
      <c r="P43" s="4" t="s">
        <v>21</v>
      </c>
      <c r="Q43" s="4" t="s">
        <v>22</v>
      </c>
    </row>
    <row r="44" customFormat="false" ht="15" hidden="false" customHeight="false" outlineLevel="0" collapsed="false">
      <c r="A44" s="3" t="n">
        <v>46214</v>
      </c>
      <c r="B44" s="4" t="s">
        <v>83</v>
      </c>
      <c r="C44" s="4" t="s">
        <v>18</v>
      </c>
      <c r="D44" s="4" t="s">
        <v>30</v>
      </c>
      <c r="E44" s="4" t="s">
        <v>31</v>
      </c>
      <c r="F44" s="5" t="n">
        <v>8448</v>
      </c>
      <c r="G44" s="5" t="n">
        <v>8771</v>
      </c>
      <c r="H44" s="5" t="n">
        <v>178</v>
      </c>
      <c r="I44" s="5" t="n">
        <v>480</v>
      </c>
      <c r="J44" s="5" t="n">
        <v>0</v>
      </c>
      <c r="K44" s="4" t="n">
        <v>20</v>
      </c>
      <c r="L44" s="5" t="n">
        <v>9016</v>
      </c>
      <c r="M44" s="5" t="n">
        <v>1439</v>
      </c>
      <c r="N44" s="4" t="n">
        <v>48</v>
      </c>
      <c r="O44" s="6" t="n">
        <v>0.74</v>
      </c>
      <c r="P44" s="4" t="s">
        <v>32</v>
      </c>
      <c r="Q44" s="4" t="s">
        <v>22</v>
      </c>
    </row>
    <row r="45" customFormat="false" ht="15" hidden="false" customHeight="false" outlineLevel="0" collapsed="false">
      <c r="A45" s="3" t="n">
        <v>46214</v>
      </c>
      <c r="B45" s="4" t="s">
        <v>84</v>
      </c>
      <c r="C45" s="4" t="s">
        <v>24</v>
      </c>
      <c r="D45" s="4" t="s">
        <v>34</v>
      </c>
      <c r="E45" s="4" t="s">
        <v>35</v>
      </c>
      <c r="F45" s="5" t="n">
        <v>2112</v>
      </c>
      <c r="G45" s="5" t="n">
        <v>2155</v>
      </c>
      <c r="H45" s="5" t="n">
        <v>64</v>
      </c>
      <c r="I45" s="5" t="n">
        <v>480</v>
      </c>
      <c r="J45" s="5" t="n">
        <v>18</v>
      </c>
      <c r="K45" s="4" t="n">
        <v>5</v>
      </c>
      <c r="L45" s="5" t="n">
        <v>2242</v>
      </c>
      <c r="M45" s="5" t="n">
        <v>1188</v>
      </c>
      <c r="N45" s="4" t="n">
        <v>48</v>
      </c>
      <c r="O45" s="6" t="n">
        <v>2.98</v>
      </c>
      <c r="P45" s="4" t="s">
        <v>50</v>
      </c>
      <c r="Q45" s="4" t="s">
        <v>22</v>
      </c>
    </row>
    <row r="46" customFormat="false" ht="15" hidden="false" customHeight="false" outlineLevel="0" collapsed="false">
      <c r="A46" s="3" t="n">
        <v>46215</v>
      </c>
      <c r="B46" s="4" t="s">
        <v>85</v>
      </c>
      <c r="C46" s="4" t="s">
        <v>29</v>
      </c>
      <c r="D46" s="4" t="s">
        <v>19</v>
      </c>
      <c r="E46" s="4" t="s">
        <v>37</v>
      </c>
      <c r="F46" s="5" t="n">
        <v>2534</v>
      </c>
      <c r="G46" s="5" t="n">
        <v>2384</v>
      </c>
      <c r="H46" s="5" t="n">
        <v>88</v>
      </c>
      <c r="I46" s="5" t="n">
        <v>480</v>
      </c>
      <c r="J46" s="5" t="n">
        <v>54</v>
      </c>
      <c r="K46" s="4" t="n">
        <v>6</v>
      </c>
      <c r="L46" s="5" t="n">
        <v>2486</v>
      </c>
      <c r="M46" s="5" t="n">
        <v>1500</v>
      </c>
      <c r="N46" s="4" t="n">
        <v>48</v>
      </c>
      <c r="O46" s="6" t="n">
        <v>2.12</v>
      </c>
      <c r="P46" s="4" t="s">
        <v>21</v>
      </c>
      <c r="Q46" s="4" t="s">
        <v>22</v>
      </c>
    </row>
    <row r="47" customFormat="false" ht="15" hidden="false" customHeight="false" outlineLevel="0" collapsed="false">
      <c r="A47" s="3" t="n">
        <v>46215</v>
      </c>
      <c r="B47" s="4" t="s">
        <v>86</v>
      </c>
      <c r="C47" s="4" t="s">
        <v>18</v>
      </c>
      <c r="D47" s="4" t="s">
        <v>25</v>
      </c>
      <c r="E47" s="4" t="s">
        <v>40</v>
      </c>
      <c r="F47" s="5" t="n">
        <v>5069</v>
      </c>
      <c r="G47" s="5" t="n">
        <v>4461</v>
      </c>
      <c r="H47" s="5" t="n">
        <v>114</v>
      </c>
      <c r="I47" s="5" t="n">
        <v>480</v>
      </c>
      <c r="J47" s="5" t="n">
        <v>63</v>
      </c>
      <c r="K47" s="4" t="n">
        <v>12</v>
      </c>
      <c r="L47" s="5" t="n">
        <v>4653</v>
      </c>
      <c r="M47" s="5" t="n">
        <v>1285</v>
      </c>
      <c r="N47" s="4" t="n">
        <v>48</v>
      </c>
      <c r="O47" s="6" t="n">
        <v>1.29</v>
      </c>
      <c r="P47" s="4" t="s">
        <v>50</v>
      </c>
      <c r="Q47" s="4" t="s">
        <v>22</v>
      </c>
    </row>
    <row r="48" customFormat="false" ht="15" hidden="false" customHeight="false" outlineLevel="0" collapsed="false">
      <c r="A48" s="3" t="n">
        <v>46215</v>
      </c>
      <c r="B48" s="4" t="s">
        <v>87</v>
      </c>
      <c r="C48" s="4" t="s">
        <v>24</v>
      </c>
      <c r="D48" s="4" t="s">
        <v>30</v>
      </c>
      <c r="E48" s="4" t="s">
        <v>42</v>
      </c>
      <c r="F48" s="5" t="n">
        <v>10560</v>
      </c>
      <c r="G48" s="5" t="n">
        <v>10238</v>
      </c>
      <c r="H48" s="5" t="n">
        <v>138</v>
      </c>
      <c r="I48" s="5" t="n">
        <v>480</v>
      </c>
      <c r="J48" s="5" t="n">
        <v>26</v>
      </c>
      <c r="K48" s="4" t="n">
        <v>25</v>
      </c>
      <c r="L48" s="5" t="n">
        <v>10667</v>
      </c>
      <c r="M48" s="5" t="n">
        <v>1328</v>
      </c>
      <c r="N48" s="4" t="n">
        <v>48</v>
      </c>
      <c r="O48" s="6" t="n">
        <v>0.4</v>
      </c>
      <c r="P48" s="4" t="s">
        <v>21</v>
      </c>
      <c r="Q48" s="4" t="s">
        <v>22</v>
      </c>
    </row>
    <row r="49" customFormat="false" ht="15" hidden="false" customHeight="false" outlineLevel="0" collapsed="false">
      <c r="A49" s="3" t="n">
        <v>46215</v>
      </c>
      <c r="B49" s="4" t="s">
        <v>88</v>
      </c>
      <c r="C49" s="4" t="s">
        <v>29</v>
      </c>
      <c r="D49" s="4" t="s">
        <v>34</v>
      </c>
      <c r="E49" s="4" t="s">
        <v>44</v>
      </c>
      <c r="F49" s="5" t="n">
        <v>3379</v>
      </c>
      <c r="G49" s="5" t="n">
        <v>3285</v>
      </c>
      <c r="H49" s="5" t="n">
        <v>126</v>
      </c>
      <c r="I49" s="5" t="n">
        <v>480</v>
      </c>
      <c r="J49" s="5" t="n">
        <v>15</v>
      </c>
      <c r="K49" s="4" t="n">
        <v>8</v>
      </c>
      <c r="L49" s="5" t="n">
        <v>3421</v>
      </c>
      <c r="M49" s="5" t="n">
        <v>2283</v>
      </c>
      <c r="N49" s="4" t="n">
        <v>48</v>
      </c>
      <c r="O49" s="6" t="n">
        <v>2.29</v>
      </c>
      <c r="P49" s="4" t="s">
        <v>50</v>
      </c>
      <c r="Q49" s="4" t="s">
        <v>22</v>
      </c>
    </row>
    <row r="50" customFormat="false" ht="15" hidden="false" customHeight="false" outlineLevel="0" collapsed="false">
      <c r="A50" s="3" t="n">
        <v>46216</v>
      </c>
      <c r="B50" s="4" t="s">
        <v>89</v>
      </c>
      <c r="C50" s="4" t="s">
        <v>18</v>
      </c>
      <c r="D50" s="4" t="s">
        <v>19</v>
      </c>
      <c r="E50" s="4" t="s">
        <v>20</v>
      </c>
      <c r="F50" s="5" t="n">
        <v>3802</v>
      </c>
      <c r="G50" s="5" t="n">
        <v>3086</v>
      </c>
      <c r="H50" s="5" t="n">
        <v>41</v>
      </c>
      <c r="I50" s="5" t="n">
        <v>480</v>
      </c>
      <c r="J50" s="5" t="n">
        <v>89</v>
      </c>
      <c r="K50" s="4" t="n">
        <v>9</v>
      </c>
      <c r="L50" s="5" t="n">
        <v>3203</v>
      </c>
      <c r="M50" s="5" t="n">
        <v>1426</v>
      </c>
      <c r="N50" s="4" t="n">
        <v>48</v>
      </c>
      <c r="O50" s="6" t="n">
        <v>1.04</v>
      </c>
      <c r="P50" s="4" t="s">
        <v>55</v>
      </c>
      <c r="Q50" s="4" t="s">
        <v>22</v>
      </c>
    </row>
    <row r="51" customFormat="false" ht="15" hidden="false" customHeight="false" outlineLevel="0" collapsed="false">
      <c r="A51" s="3" t="n">
        <v>46216</v>
      </c>
      <c r="B51" s="4" t="s">
        <v>90</v>
      </c>
      <c r="C51" s="4" t="s">
        <v>24</v>
      </c>
      <c r="D51" s="4" t="s">
        <v>25</v>
      </c>
      <c r="E51" s="4" t="s">
        <v>26</v>
      </c>
      <c r="F51" s="5" t="n">
        <v>1690</v>
      </c>
      <c r="G51" s="5" t="n">
        <v>1780</v>
      </c>
      <c r="H51" s="5" t="n">
        <v>35</v>
      </c>
      <c r="I51" s="5" t="n">
        <v>480</v>
      </c>
      <c r="J51" s="5" t="n">
        <v>0</v>
      </c>
      <c r="K51" s="4" t="n">
        <v>4</v>
      </c>
      <c r="L51" s="5" t="n">
        <v>1833</v>
      </c>
      <c r="M51" s="5" t="n">
        <v>886</v>
      </c>
      <c r="N51" s="4" t="n">
        <v>48</v>
      </c>
      <c r="O51" s="6" t="n">
        <v>4.53</v>
      </c>
      <c r="P51" s="4" t="s">
        <v>32</v>
      </c>
      <c r="Q51" s="4" t="s">
        <v>22</v>
      </c>
    </row>
    <row r="52" customFormat="false" ht="15" hidden="false" customHeight="false" outlineLevel="0" collapsed="false">
      <c r="A52" s="3" t="n">
        <v>46216</v>
      </c>
      <c r="B52" s="4" t="s">
        <v>91</v>
      </c>
      <c r="C52" s="4" t="s">
        <v>29</v>
      </c>
      <c r="D52" s="4" t="s">
        <v>30</v>
      </c>
      <c r="E52" s="4" t="s">
        <v>31</v>
      </c>
      <c r="F52" s="5" t="n">
        <v>8448</v>
      </c>
      <c r="G52" s="5" t="n">
        <v>8134</v>
      </c>
      <c r="H52" s="5" t="n">
        <v>136</v>
      </c>
      <c r="I52" s="5" t="n">
        <v>480</v>
      </c>
      <c r="J52" s="5" t="n">
        <v>0</v>
      </c>
      <c r="K52" s="4" t="n">
        <v>20</v>
      </c>
      <c r="L52" s="5" t="n">
        <v>8465</v>
      </c>
      <c r="M52" s="5" t="n">
        <v>1146</v>
      </c>
      <c r="N52" s="4" t="n">
        <v>48</v>
      </c>
      <c r="O52" s="6" t="n">
        <v>0.76</v>
      </c>
      <c r="P52" s="4" t="s">
        <v>32</v>
      </c>
      <c r="Q52" s="4" t="s">
        <v>22</v>
      </c>
    </row>
    <row r="53" customFormat="false" ht="15" hidden="false" customHeight="false" outlineLevel="0" collapsed="false">
      <c r="A53" s="3" t="n">
        <v>46216</v>
      </c>
      <c r="B53" s="4" t="s">
        <v>92</v>
      </c>
      <c r="C53" s="4" t="s">
        <v>18</v>
      </c>
      <c r="D53" s="4" t="s">
        <v>34</v>
      </c>
      <c r="E53" s="4" t="s">
        <v>35</v>
      </c>
      <c r="F53" s="5" t="n">
        <v>2112</v>
      </c>
      <c r="G53" s="5" t="n">
        <v>2015</v>
      </c>
      <c r="H53" s="5" t="n">
        <v>86</v>
      </c>
      <c r="I53" s="5" t="n">
        <v>480</v>
      </c>
      <c r="J53" s="5" t="n">
        <v>49</v>
      </c>
      <c r="K53" s="4" t="n">
        <v>5</v>
      </c>
      <c r="L53" s="5" t="n">
        <v>2071</v>
      </c>
      <c r="M53" s="5" t="n">
        <v>1092</v>
      </c>
      <c r="N53" s="4" t="n">
        <v>48</v>
      </c>
      <c r="O53" s="6" t="n">
        <v>2.94</v>
      </c>
      <c r="P53" s="4" t="s">
        <v>21</v>
      </c>
      <c r="Q53" s="4" t="s">
        <v>22</v>
      </c>
    </row>
    <row r="54" customFormat="false" ht="15" hidden="false" customHeight="false" outlineLevel="0" collapsed="false">
      <c r="A54" s="3" t="n">
        <v>46217</v>
      </c>
      <c r="B54" s="4" t="s">
        <v>93</v>
      </c>
      <c r="C54" s="4" t="s">
        <v>24</v>
      </c>
      <c r="D54" s="4" t="s">
        <v>19</v>
      </c>
      <c r="E54" s="4" t="s">
        <v>37</v>
      </c>
      <c r="F54" s="5" t="n">
        <v>2534</v>
      </c>
      <c r="G54" s="5" t="n">
        <v>2630</v>
      </c>
      <c r="H54" s="5" t="n">
        <v>76</v>
      </c>
      <c r="I54" s="5" t="n">
        <v>480</v>
      </c>
      <c r="J54" s="5" t="n">
        <v>16</v>
      </c>
      <c r="K54" s="4" t="n">
        <v>6</v>
      </c>
      <c r="L54" s="5" t="n">
        <v>2748</v>
      </c>
      <c r="M54" s="5" t="n">
        <v>1631</v>
      </c>
      <c r="N54" s="4" t="n">
        <v>48</v>
      </c>
      <c r="O54" s="6" t="n">
        <v>2.16</v>
      </c>
      <c r="P54" s="4" t="s">
        <v>21</v>
      </c>
      <c r="Q54" s="4" t="s">
        <v>22</v>
      </c>
    </row>
    <row r="55" customFormat="false" ht="15" hidden="false" customHeight="false" outlineLevel="0" collapsed="false">
      <c r="A55" s="3" t="n">
        <v>46217</v>
      </c>
      <c r="B55" s="4" t="s">
        <v>94</v>
      </c>
      <c r="C55" s="4" t="s">
        <v>29</v>
      </c>
      <c r="D55" s="4" t="s">
        <v>25</v>
      </c>
      <c r="E55" s="4" t="s">
        <v>40</v>
      </c>
      <c r="F55" s="5" t="n">
        <v>5069</v>
      </c>
      <c r="G55" s="5" t="n">
        <v>5352</v>
      </c>
      <c r="H55" s="5" t="n">
        <v>140</v>
      </c>
      <c r="I55" s="5" t="n">
        <v>480</v>
      </c>
      <c r="J55" s="5" t="n">
        <v>0</v>
      </c>
      <c r="K55" s="4" t="n">
        <v>12</v>
      </c>
      <c r="L55" s="5" t="n">
        <v>5582</v>
      </c>
      <c r="M55" s="5" t="n">
        <v>1607</v>
      </c>
      <c r="N55" s="4" t="n">
        <v>48</v>
      </c>
      <c r="O55" s="6" t="n">
        <v>1.33</v>
      </c>
      <c r="P55" s="4" t="s">
        <v>32</v>
      </c>
      <c r="Q55" s="4" t="s">
        <v>22</v>
      </c>
    </row>
    <row r="56" customFormat="false" ht="15" hidden="false" customHeight="false" outlineLevel="0" collapsed="false">
      <c r="A56" s="3" t="n">
        <v>46217</v>
      </c>
      <c r="B56" s="4" t="s">
        <v>95</v>
      </c>
      <c r="C56" s="4" t="s">
        <v>18</v>
      </c>
      <c r="D56" s="4" t="s">
        <v>30</v>
      </c>
      <c r="E56" s="4" t="s">
        <v>42</v>
      </c>
      <c r="F56" s="5" t="n">
        <v>10560</v>
      </c>
      <c r="G56" s="5" t="n">
        <v>11212</v>
      </c>
      <c r="H56" s="5" t="n">
        <v>110</v>
      </c>
      <c r="I56" s="5" t="n">
        <v>480</v>
      </c>
      <c r="J56" s="5" t="n">
        <v>0</v>
      </c>
      <c r="K56" s="4" t="n">
        <v>25</v>
      </c>
      <c r="L56" s="5" t="n">
        <v>11565</v>
      </c>
      <c r="M56" s="5" t="n">
        <v>1277</v>
      </c>
      <c r="N56" s="4" t="n">
        <v>48</v>
      </c>
      <c r="O56" s="6" t="n">
        <v>0.4</v>
      </c>
      <c r="P56" s="4" t="s">
        <v>32</v>
      </c>
      <c r="Q56" s="4" t="s">
        <v>22</v>
      </c>
    </row>
    <row r="57" customFormat="false" ht="15" hidden="false" customHeight="false" outlineLevel="0" collapsed="false">
      <c r="A57" s="3" t="n">
        <v>46217</v>
      </c>
      <c r="B57" s="4" t="s">
        <v>96</v>
      </c>
      <c r="C57" s="4" t="s">
        <v>24</v>
      </c>
      <c r="D57" s="4" t="s">
        <v>34</v>
      </c>
      <c r="E57" s="4" t="s">
        <v>44</v>
      </c>
      <c r="F57" s="5" t="n">
        <v>3379</v>
      </c>
      <c r="G57" s="5" t="n">
        <v>3013</v>
      </c>
      <c r="H57" s="5" t="n">
        <v>75</v>
      </c>
      <c r="I57" s="5" t="n">
        <v>480</v>
      </c>
      <c r="J57" s="5" t="n">
        <v>46</v>
      </c>
      <c r="K57" s="4" t="n">
        <v>8</v>
      </c>
      <c r="L57" s="5" t="n">
        <v>3109</v>
      </c>
      <c r="M57" s="5" t="n">
        <v>2033</v>
      </c>
      <c r="N57" s="4" t="n">
        <v>48</v>
      </c>
      <c r="O57" s="6" t="n">
        <v>2.31</v>
      </c>
      <c r="P57" s="4" t="s">
        <v>21</v>
      </c>
      <c r="Q57" s="4" t="s">
        <v>22</v>
      </c>
    </row>
    <row r="58" customFormat="false" ht="15" hidden="false" customHeight="false" outlineLevel="0" collapsed="false">
      <c r="A58" s="3" t="n">
        <v>46218</v>
      </c>
      <c r="B58" s="4" t="s">
        <v>97</v>
      </c>
      <c r="C58" s="4" t="s">
        <v>29</v>
      </c>
      <c r="D58" s="4" t="s">
        <v>19</v>
      </c>
      <c r="E58" s="4" t="s">
        <v>20</v>
      </c>
      <c r="F58" s="5" t="n">
        <v>3802</v>
      </c>
      <c r="G58" s="5" t="n">
        <v>3260</v>
      </c>
      <c r="H58" s="5" t="n">
        <v>72</v>
      </c>
      <c r="I58" s="5" t="n">
        <v>480</v>
      </c>
      <c r="J58" s="5" t="n">
        <v>52</v>
      </c>
      <c r="K58" s="4" t="n">
        <v>9</v>
      </c>
      <c r="L58" s="5" t="n">
        <v>3386</v>
      </c>
      <c r="M58" s="5" t="n">
        <v>1442</v>
      </c>
      <c r="N58" s="4" t="n">
        <v>48</v>
      </c>
      <c r="O58" s="6" t="n">
        <v>1.03</v>
      </c>
      <c r="P58" s="4" t="s">
        <v>55</v>
      </c>
      <c r="Q58" s="4" t="s">
        <v>22</v>
      </c>
    </row>
    <row r="59" customFormat="false" ht="15" hidden="false" customHeight="false" outlineLevel="0" collapsed="false">
      <c r="A59" s="3" t="n">
        <v>46218</v>
      </c>
      <c r="B59" s="4" t="s">
        <v>98</v>
      </c>
      <c r="C59" s="4" t="s">
        <v>18</v>
      </c>
      <c r="D59" s="4" t="s">
        <v>25</v>
      </c>
      <c r="E59" s="4" t="s">
        <v>26</v>
      </c>
      <c r="F59" s="5" t="n">
        <v>1690</v>
      </c>
      <c r="G59" s="5" t="n">
        <v>1763</v>
      </c>
      <c r="H59" s="5" t="n">
        <v>51</v>
      </c>
      <c r="I59" s="5" t="n">
        <v>480</v>
      </c>
      <c r="J59" s="5" t="n">
        <v>0</v>
      </c>
      <c r="K59" s="4" t="n">
        <v>4</v>
      </c>
      <c r="L59" s="5" t="n">
        <v>1845</v>
      </c>
      <c r="M59" s="5" t="n">
        <v>1021</v>
      </c>
      <c r="N59" s="4" t="n">
        <v>48</v>
      </c>
      <c r="O59" s="6" t="n">
        <v>4.57</v>
      </c>
      <c r="P59" s="4" t="s">
        <v>32</v>
      </c>
      <c r="Q59" s="4" t="s">
        <v>99</v>
      </c>
    </row>
    <row r="60" customFormat="false" ht="15" hidden="false" customHeight="false" outlineLevel="0" collapsed="false">
      <c r="A60" s="3" t="n">
        <v>46218</v>
      </c>
      <c r="B60" s="4" t="s">
        <v>100</v>
      </c>
      <c r="C60" s="4" t="s">
        <v>24</v>
      </c>
      <c r="D60" s="4" t="s">
        <v>30</v>
      </c>
      <c r="E60" s="4" t="s">
        <v>31</v>
      </c>
      <c r="F60" s="5" t="n">
        <v>8448</v>
      </c>
      <c r="G60" s="5" t="n">
        <v>8044</v>
      </c>
      <c r="H60" s="5" t="n">
        <v>113</v>
      </c>
      <c r="I60" s="5" t="n">
        <v>480</v>
      </c>
      <c r="J60" s="5" t="n">
        <v>59</v>
      </c>
      <c r="K60" s="4" t="n">
        <v>20</v>
      </c>
      <c r="L60" s="5" t="n">
        <v>8395</v>
      </c>
      <c r="M60" s="5" t="n">
        <v>1218</v>
      </c>
      <c r="N60" s="4" t="n">
        <v>48</v>
      </c>
      <c r="O60" s="6" t="n">
        <v>0.75</v>
      </c>
      <c r="P60" s="4" t="s">
        <v>38</v>
      </c>
      <c r="Q60" s="4" t="s">
        <v>22</v>
      </c>
    </row>
    <row r="61" customFormat="false" ht="15" hidden="false" customHeight="false" outlineLevel="0" collapsed="false">
      <c r="A61" s="3" t="n">
        <v>46218</v>
      </c>
      <c r="B61" s="4" t="s">
        <v>101</v>
      </c>
      <c r="C61" s="4" t="s">
        <v>29</v>
      </c>
      <c r="D61" s="4" t="s">
        <v>34</v>
      </c>
      <c r="E61" s="4" t="s">
        <v>35</v>
      </c>
      <c r="F61" s="5" t="n">
        <v>2112</v>
      </c>
      <c r="G61" s="5" t="n">
        <v>1953</v>
      </c>
      <c r="H61" s="5" t="n">
        <v>94</v>
      </c>
      <c r="I61" s="5" t="n">
        <v>480</v>
      </c>
      <c r="J61" s="5" t="n">
        <v>33</v>
      </c>
      <c r="K61" s="4" t="n">
        <v>5</v>
      </c>
      <c r="L61" s="5" t="n">
        <v>2022</v>
      </c>
      <c r="M61" s="5" t="n">
        <v>1002</v>
      </c>
      <c r="N61" s="4" t="n">
        <v>48</v>
      </c>
      <c r="O61" s="6" t="n">
        <v>2.99</v>
      </c>
      <c r="P61" s="4" t="s">
        <v>21</v>
      </c>
      <c r="Q61" s="4" t="s">
        <v>22</v>
      </c>
    </row>
    <row r="62" customFormat="false" ht="15" hidden="false" customHeight="false" outlineLevel="0" collapsed="false">
      <c r="A62" s="3" t="n">
        <v>46219</v>
      </c>
      <c r="B62" s="4" t="s">
        <v>102</v>
      </c>
      <c r="C62" s="4" t="s">
        <v>18</v>
      </c>
      <c r="D62" s="4" t="s">
        <v>19</v>
      </c>
      <c r="E62" s="4" t="s">
        <v>37</v>
      </c>
      <c r="F62" s="5" t="n">
        <v>2534</v>
      </c>
      <c r="G62" s="5" t="n">
        <v>2557</v>
      </c>
      <c r="H62" s="5" t="n">
        <v>48</v>
      </c>
      <c r="I62" s="5" t="n">
        <v>480</v>
      </c>
      <c r="J62" s="5" t="n">
        <v>15</v>
      </c>
      <c r="K62" s="4" t="n">
        <v>6</v>
      </c>
      <c r="L62" s="5" t="n">
        <v>2662</v>
      </c>
      <c r="M62" s="5" t="n">
        <v>1422</v>
      </c>
      <c r="N62" s="4" t="n">
        <v>48</v>
      </c>
      <c r="O62" s="6" t="n">
        <v>2.1</v>
      </c>
      <c r="P62" s="4" t="s">
        <v>50</v>
      </c>
      <c r="Q62" s="4" t="s">
        <v>22</v>
      </c>
    </row>
    <row r="63" customFormat="false" ht="15" hidden="false" customHeight="false" outlineLevel="0" collapsed="false">
      <c r="A63" s="3" t="n">
        <v>46219</v>
      </c>
      <c r="B63" s="4" t="s">
        <v>103</v>
      </c>
      <c r="C63" s="4" t="s">
        <v>24</v>
      </c>
      <c r="D63" s="4" t="s">
        <v>25</v>
      </c>
      <c r="E63" s="4" t="s">
        <v>40</v>
      </c>
      <c r="F63" s="5" t="n">
        <v>5069</v>
      </c>
      <c r="G63" s="5" t="n">
        <v>5111</v>
      </c>
      <c r="H63" s="5" t="n">
        <v>92</v>
      </c>
      <c r="I63" s="5" t="n">
        <v>480</v>
      </c>
      <c r="J63" s="5" t="n">
        <v>25</v>
      </c>
      <c r="K63" s="4" t="n">
        <v>12</v>
      </c>
      <c r="L63" s="5" t="n">
        <v>5335</v>
      </c>
      <c r="M63" s="5" t="n">
        <v>1635</v>
      </c>
      <c r="N63" s="4" t="n">
        <v>48</v>
      </c>
      <c r="O63" s="6" t="n">
        <v>1.28</v>
      </c>
      <c r="P63" s="4" t="s">
        <v>50</v>
      </c>
      <c r="Q63" s="4" t="s">
        <v>22</v>
      </c>
    </row>
    <row r="64" customFormat="false" ht="15" hidden="false" customHeight="false" outlineLevel="0" collapsed="false">
      <c r="A64" s="3" t="n">
        <v>46219</v>
      </c>
      <c r="B64" s="4" t="s">
        <v>104</v>
      </c>
      <c r="C64" s="4" t="s">
        <v>29</v>
      </c>
      <c r="D64" s="4" t="s">
        <v>30</v>
      </c>
      <c r="E64" s="4" t="s">
        <v>42</v>
      </c>
      <c r="F64" s="5" t="n">
        <v>10560</v>
      </c>
      <c r="G64" s="5" t="n">
        <v>9647</v>
      </c>
      <c r="H64" s="5" t="n">
        <v>130</v>
      </c>
      <c r="I64" s="5" t="n">
        <v>480</v>
      </c>
      <c r="J64" s="5" t="n">
        <v>39</v>
      </c>
      <c r="K64" s="4" t="n">
        <v>25</v>
      </c>
      <c r="L64" s="5" t="n">
        <v>10077</v>
      </c>
      <c r="M64" s="5" t="n">
        <v>1193</v>
      </c>
      <c r="N64" s="4" t="n">
        <v>48</v>
      </c>
      <c r="O64" s="6" t="n">
        <v>0.41</v>
      </c>
      <c r="P64" s="4" t="s">
        <v>65</v>
      </c>
      <c r="Q64" s="4" t="s">
        <v>22</v>
      </c>
    </row>
    <row r="65" customFormat="false" ht="15" hidden="false" customHeight="false" outlineLevel="0" collapsed="false">
      <c r="A65" s="3" t="n">
        <v>46219</v>
      </c>
      <c r="B65" s="4" t="s">
        <v>105</v>
      </c>
      <c r="C65" s="4" t="s">
        <v>18</v>
      </c>
      <c r="D65" s="4" t="s">
        <v>34</v>
      </c>
      <c r="E65" s="4" t="s">
        <v>44</v>
      </c>
      <c r="F65" s="5" t="n">
        <v>3379</v>
      </c>
      <c r="G65" s="5" t="n">
        <v>3246</v>
      </c>
      <c r="H65" s="5" t="n">
        <v>111</v>
      </c>
      <c r="I65" s="5" t="n">
        <v>480</v>
      </c>
      <c r="J65" s="5" t="n">
        <v>15</v>
      </c>
      <c r="K65" s="4" t="n">
        <v>8</v>
      </c>
      <c r="L65" s="5" t="n">
        <v>3373</v>
      </c>
      <c r="M65" s="5" t="n">
        <v>2144</v>
      </c>
      <c r="N65" s="4" t="n">
        <v>48</v>
      </c>
      <c r="O65" s="6" t="n">
        <v>2.33</v>
      </c>
      <c r="P65" s="4" t="s">
        <v>21</v>
      </c>
      <c r="Q65" s="4" t="s">
        <v>22</v>
      </c>
    </row>
    <row r="66" customFormat="false" ht="15" hidden="false" customHeight="false" outlineLevel="0" collapsed="false">
      <c r="A66" s="3" t="n">
        <v>46220</v>
      </c>
      <c r="B66" s="4" t="s">
        <v>106</v>
      </c>
      <c r="C66" s="4" t="s">
        <v>24</v>
      </c>
      <c r="D66" s="4" t="s">
        <v>19</v>
      </c>
      <c r="E66" s="4" t="s">
        <v>20</v>
      </c>
      <c r="F66" s="5" t="n">
        <v>3802</v>
      </c>
      <c r="G66" s="5" t="n">
        <v>3420</v>
      </c>
      <c r="H66" s="5" t="n">
        <v>86</v>
      </c>
      <c r="I66" s="5" t="n">
        <v>480</v>
      </c>
      <c r="J66" s="5" t="n">
        <v>44</v>
      </c>
      <c r="K66" s="4" t="n">
        <v>9</v>
      </c>
      <c r="L66" s="5" t="n">
        <v>3588</v>
      </c>
      <c r="M66" s="5" t="n">
        <v>1418</v>
      </c>
      <c r="N66" s="4" t="n">
        <v>48</v>
      </c>
      <c r="O66" s="6" t="n">
        <v>1.02</v>
      </c>
      <c r="P66" s="4" t="s">
        <v>55</v>
      </c>
      <c r="Q66" s="4" t="s">
        <v>22</v>
      </c>
    </row>
    <row r="67" customFormat="false" ht="15" hidden="false" customHeight="false" outlineLevel="0" collapsed="false">
      <c r="A67" s="3" t="n">
        <v>46220</v>
      </c>
      <c r="B67" s="4" t="s">
        <v>107</v>
      </c>
      <c r="C67" s="4" t="s">
        <v>29</v>
      </c>
      <c r="D67" s="4" t="s">
        <v>25</v>
      </c>
      <c r="E67" s="4" t="s">
        <v>26</v>
      </c>
      <c r="F67" s="5" t="n">
        <v>1690</v>
      </c>
      <c r="G67" s="5" t="n">
        <v>1178</v>
      </c>
      <c r="H67" s="5" t="n">
        <v>23</v>
      </c>
      <c r="I67" s="5" t="n">
        <v>480</v>
      </c>
      <c r="J67" s="5" t="n">
        <v>157</v>
      </c>
      <c r="K67" s="4" t="n">
        <v>4</v>
      </c>
      <c r="L67" s="5" t="n">
        <v>1228</v>
      </c>
      <c r="M67" s="5" t="n">
        <v>664</v>
      </c>
      <c r="N67" s="4" t="n">
        <v>48</v>
      </c>
      <c r="O67" s="6" t="n">
        <v>4.49</v>
      </c>
      <c r="P67" s="4" t="s">
        <v>50</v>
      </c>
      <c r="Q67" s="4" t="s">
        <v>22</v>
      </c>
    </row>
    <row r="68" customFormat="false" ht="15" hidden="false" customHeight="false" outlineLevel="0" collapsed="false">
      <c r="A68" s="3" t="n">
        <v>46220</v>
      </c>
      <c r="B68" s="4" t="s">
        <v>108</v>
      </c>
      <c r="C68" s="4" t="s">
        <v>18</v>
      </c>
      <c r="D68" s="4" t="s">
        <v>30</v>
      </c>
      <c r="E68" s="4" t="s">
        <v>31</v>
      </c>
      <c r="F68" s="5" t="n">
        <v>8448</v>
      </c>
      <c r="G68" s="5" t="n">
        <v>8832</v>
      </c>
      <c r="H68" s="5" t="n">
        <v>92</v>
      </c>
      <c r="I68" s="5" t="n">
        <v>480</v>
      </c>
      <c r="J68" s="5" t="n">
        <v>0</v>
      </c>
      <c r="K68" s="4" t="n">
        <v>20</v>
      </c>
      <c r="L68" s="5" t="n">
        <v>9270</v>
      </c>
      <c r="M68" s="5" t="n">
        <v>1400</v>
      </c>
      <c r="N68" s="4" t="n">
        <v>48</v>
      </c>
      <c r="O68" s="6" t="n">
        <v>0.74</v>
      </c>
      <c r="P68" s="4" t="s">
        <v>32</v>
      </c>
      <c r="Q68" s="4" t="s">
        <v>22</v>
      </c>
    </row>
    <row r="69" customFormat="false" ht="15" hidden="false" customHeight="false" outlineLevel="0" collapsed="false">
      <c r="A69" s="3" t="n">
        <v>46220</v>
      </c>
      <c r="B69" s="4" t="s">
        <v>109</v>
      </c>
      <c r="C69" s="4" t="s">
        <v>24</v>
      </c>
      <c r="D69" s="4" t="s">
        <v>34</v>
      </c>
      <c r="E69" s="4" t="s">
        <v>35</v>
      </c>
      <c r="F69" s="5" t="n">
        <v>2112</v>
      </c>
      <c r="G69" s="5" t="n">
        <v>2093</v>
      </c>
      <c r="H69" s="5" t="n">
        <v>92</v>
      </c>
      <c r="I69" s="5" t="n">
        <v>480</v>
      </c>
      <c r="J69" s="5" t="n">
        <v>37</v>
      </c>
      <c r="K69" s="4" t="n">
        <v>5</v>
      </c>
      <c r="L69" s="5" t="n">
        <v>2151</v>
      </c>
      <c r="M69" s="5" t="n">
        <v>1257</v>
      </c>
      <c r="N69" s="4" t="n">
        <v>48</v>
      </c>
      <c r="O69" s="6" t="n">
        <v>3.02</v>
      </c>
      <c r="P69" s="4" t="s">
        <v>50</v>
      </c>
      <c r="Q69" s="4" t="s">
        <v>22</v>
      </c>
    </row>
    <row r="70" customFormat="false" ht="15" hidden="false" customHeight="false" outlineLevel="0" collapsed="false">
      <c r="A70" s="3" t="n">
        <v>46221</v>
      </c>
      <c r="B70" s="4" t="s">
        <v>110</v>
      </c>
      <c r="C70" s="4" t="s">
        <v>29</v>
      </c>
      <c r="D70" s="4" t="s">
        <v>19</v>
      </c>
      <c r="E70" s="4" t="s">
        <v>37</v>
      </c>
      <c r="F70" s="5" t="n">
        <v>2534</v>
      </c>
      <c r="G70" s="5" t="n">
        <v>2512</v>
      </c>
      <c r="H70" s="5" t="n">
        <v>74</v>
      </c>
      <c r="I70" s="5" t="n">
        <v>480</v>
      </c>
      <c r="J70" s="5" t="n">
        <v>33</v>
      </c>
      <c r="K70" s="4" t="n">
        <v>6</v>
      </c>
      <c r="L70" s="5" t="n">
        <v>2626</v>
      </c>
      <c r="M70" s="5" t="n">
        <v>1519</v>
      </c>
      <c r="N70" s="4" t="n">
        <v>48</v>
      </c>
      <c r="O70" s="6" t="n">
        <v>2.1</v>
      </c>
      <c r="P70" s="4" t="s">
        <v>55</v>
      </c>
      <c r="Q70" s="4" t="s">
        <v>22</v>
      </c>
    </row>
    <row r="71" customFormat="false" ht="15" hidden="false" customHeight="false" outlineLevel="0" collapsed="false">
      <c r="A71" s="3" t="n">
        <v>46221</v>
      </c>
      <c r="B71" s="4" t="s">
        <v>111</v>
      </c>
      <c r="C71" s="4" t="s">
        <v>18</v>
      </c>
      <c r="D71" s="4" t="s">
        <v>25</v>
      </c>
      <c r="E71" s="4" t="s">
        <v>40</v>
      </c>
      <c r="F71" s="5" t="n">
        <v>5069</v>
      </c>
      <c r="G71" s="5" t="n">
        <v>5104</v>
      </c>
      <c r="H71" s="5" t="n">
        <v>68</v>
      </c>
      <c r="I71" s="5" t="n">
        <v>480</v>
      </c>
      <c r="J71" s="5" t="n">
        <v>29</v>
      </c>
      <c r="K71" s="4" t="n">
        <v>12</v>
      </c>
      <c r="L71" s="5" t="n">
        <v>5344</v>
      </c>
      <c r="M71" s="5" t="n">
        <v>1453</v>
      </c>
      <c r="N71" s="4" t="n">
        <v>48</v>
      </c>
      <c r="O71" s="6" t="n">
        <v>1.3</v>
      </c>
      <c r="P71" s="4" t="s">
        <v>38</v>
      </c>
      <c r="Q71" s="4" t="s">
        <v>22</v>
      </c>
    </row>
    <row r="72" customFormat="false" ht="15" hidden="false" customHeight="false" outlineLevel="0" collapsed="false">
      <c r="A72" s="3" t="n">
        <v>46221</v>
      </c>
      <c r="B72" s="4" t="s">
        <v>112</v>
      </c>
      <c r="C72" s="4" t="s">
        <v>24</v>
      </c>
      <c r="D72" s="4" t="s">
        <v>30</v>
      </c>
      <c r="E72" s="4" t="s">
        <v>42</v>
      </c>
      <c r="F72" s="5" t="n">
        <v>10560</v>
      </c>
      <c r="G72" s="5" t="n">
        <v>10209</v>
      </c>
      <c r="H72" s="5" t="n">
        <v>79</v>
      </c>
      <c r="I72" s="5" t="n">
        <v>480</v>
      </c>
      <c r="J72" s="5" t="n">
        <v>15</v>
      </c>
      <c r="K72" s="4" t="n">
        <v>25</v>
      </c>
      <c r="L72" s="5" t="n">
        <v>10668</v>
      </c>
      <c r="M72" s="5" t="n">
        <v>1186</v>
      </c>
      <c r="N72" s="4" t="n">
        <v>48</v>
      </c>
      <c r="O72" s="6" t="n">
        <v>0.41</v>
      </c>
      <c r="P72" s="4" t="s">
        <v>38</v>
      </c>
      <c r="Q72" s="4" t="s">
        <v>22</v>
      </c>
    </row>
    <row r="73" customFormat="false" ht="15" hidden="false" customHeight="false" outlineLevel="0" collapsed="false">
      <c r="A73" s="3" t="n">
        <v>46221</v>
      </c>
      <c r="B73" s="4" t="s">
        <v>113</v>
      </c>
      <c r="C73" s="4" t="s">
        <v>29</v>
      </c>
      <c r="D73" s="4" t="s">
        <v>34</v>
      </c>
      <c r="E73" s="4" t="s">
        <v>44</v>
      </c>
      <c r="F73" s="5" t="n">
        <v>3379</v>
      </c>
      <c r="G73" s="5" t="n">
        <v>3157</v>
      </c>
      <c r="H73" s="5" t="n">
        <v>134</v>
      </c>
      <c r="I73" s="5" t="n">
        <v>480</v>
      </c>
      <c r="J73" s="5" t="n">
        <v>15</v>
      </c>
      <c r="K73" s="4" t="n">
        <v>8</v>
      </c>
      <c r="L73" s="5" t="n">
        <v>3274</v>
      </c>
      <c r="M73" s="5" t="n">
        <v>2324</v>
      </c>
      <c r="N73" s="4" t="n">
        <v>48</v>
      </c>
      <c r="O73" s="6" t="n">
        <v>2.33</v>
      </c>
      <c r="P73" s="4" t="s">
        <v>69</v>
      </c>
      <c r="Q73" s="4" t="s">
        <v>22</v>
      </c>
    </row>
    <row r="74" customFormat="false" ht="15" hidden="false" customHeight="false" outlineLevel="0" collapsed="false">
      <c r="A74" s="3" t="n">
        <v>46222</v>
      </c>
      <c r="B74" s="4" t="s">
        <v>114</v>
      </c>
      <c r="C74" s="4" t="s">
        <v>18</v>
      </c>
      <c r="D74" s="4" t="s">
        <v>19</v>
      </c>
      <c r="E74" s="4" t="s">
        <v>20</v>
      </c>
      <c r="F74" s="5" t="n">
        <v>3802</v>
      </c>
      <c r="G74" s="5" t="n">
        <v>3295</v>
      </c>
      <c r="H74" s="5" t="n">
        <v>76</v>
      </c>
      <c r="I74" s="5" t="n">
        <v>480</v>
      </c>
      <c r="J74" s="5" t="n">
        <v>65</v>
      </c>
      <c r="K74" s="4" t="n">
        <v>9</v>
      </c>
      <c r="L74" s="5" t="n">
        <v>3403</v>
      </c>
      <c r="M74" s="5" t="n">
        <v>1507</v>
      </c>
      <c r="N74" s="4" t="n">
        <v>48</v>
      </c>
      <c r="O74" s="6" t="n">
        <v>1.05</v>
      </c>
      <c r="P74" s="4" t="s">
        <v>21</v>
      </c>
      <c r="Q74" s="4" t="s">
        <v>22</v>
      </c>
    </row>
    <row r="75" customFormat="false" ht="15" hidden="false" customHeight="false" outlineLevel="0" collapsed="false">
      <c r="A75" s="3" t="n">
        <v>46222</v>
      </c>
      <c r="B75" s="4" t="s">
        <v>115</v>
      </c>
      <c r="C75" s="4" t="s">
        <v>24</v>
      </c>
      <c r="D75" s="4" t="s">
        <v>25</v>
      </c>
      <c r="E75" s="4" t="s">
        <v>26</v>
      </c>
      <c r="F75" s="5" t="n">
        <v>1690</v>
      </c>
      <c r="G75" s="5" t="n">
        <v>1503</v>
      </c>
      <c r="H75" s="5" t="n">
        <v>31</v>
      </c>
      <c r="I75" s="5" t="n">
        <v>480</v>
      </c>
      <c r="J75" s="5" t="n">
        <v>76</v>
      </c>
      <c r="K75" s="4" t="n">
        <v>4</v>
      </c>
      <c r="L75" s="5" t="n">
        <v>1550</v>
      </c>
      <c r="M75" s="5" t="n">
        <v>764</v>
      </c>
      <c r="N75" s="4" t="n">
        <v>48</v>
      </c>
      <c r="O75" s="6" t="n">
        <v>4.52</v>
      </c>
      <c r="P75" s="4" t="s">
        <v>50</v>
      </c>
      <c r="Q75" s="4" t="s">
        <v>22</v>
      </c>
    </row>
    <row r="76" customFormat="false" ht="15" hidden="false" customHeight="false" outlineLevel="0" collapsed="false">
      <c r="A76" s="3" t="n">
        <v>46222</v>
      </c>
      <c r="B76" s="4" t="s">
        <v>116</v>
      </c>
      <c r="C76" s="4" t="s">
        <v>29</v>
      </c>
      <c r="D76" s="4" t="s">
        <v>30</v>
      </c>
      <c r="E76" s="4" t="s">
        <v>31</v>
      </c>
      <c r="F76" s="5" t="n">
        <v>8448</v>
      </c>
      <c r="G76" s="5" t="n">
        <v>7238</v>
      </c>
      <c r="H76" s="5" t="n">
        <v>129</v>
      </c>
      <c r="I76" s="5" t="n">
        <v>480</v>
      </c>
      <c r="J76" s="5" t="n">
        <v>60</v>
      </c>
      <c r="K76" s="4" t="n">
        <v>20</v>
      </c>
      <c r="L76" s="5" t="n">
        <v>7550</v>
      </c>
      <c r="M76" s="5" t="n">
        <v>1189</v>
      </c>
      <c r="N76" s="4" t="n">
        <v>48</v>
      </c>
      <c r="O76" s="6" t="n">
        <v>0.75</v>
      </c>
      <c r="P76" s="4" t="s">
        <v>21</v>
      </c>
      <c r="Q76" s="4" t="s">
        <v>22</v>
      </c>
    </row>
    <row r="77" customFormat="false" ht="15" hidden="false" customHeight="false" outlineLevel="0" collapsed="false">
      <c r="A77" s="3" t="n">
        <v>46222</v>
      </c>
      <c r="B77" s="4" t="s">
        <v>117</v>
      </c>
      <c r="C77" s="4" t="s">
        <v>18</v>
      </c>
      <c r="D77" s="4" t="s">
        <v>34</v>
      </c>
      <c r="E77" s="4" t="s">
        <v>35</v>
      </c>
      <c r="F77" s="5" t="n">
        <v>2112</v>
      </c>
      <c r="G77" s="5" t="n">
        <v>2015</v>
      </c>
      <c r="H77" s="5" t="n">
        <v>43</v>
      </c>
      <c r="I77" s="5" t="n">
        <v>480</v>
      </c>
      <c r="J77" s="5" t="n">
        <v>21</v>
      </c>
      <c r="K77" s="4" t="n">
        <v>5</v>
      </c>
      <c r="L77" s="5" t="n">
        <v>2092</v>
      </c>
      <c r="M77" s="5" t="n">
        <v>1058</v>
      </c>
      <c r="N77" s="4" t="n">
        <v>48</v>
      </c>
      <c r="O77" s="6" t="n">
        <v>3.09</v>
      </c>
      <c r="P77" s="4" t="s">
        <v>21</v>
      </c>
      <c r="Q77" s="4" t="s">
        <v>22</v>
      </c>
    </row>
    <row r="78" customFormat="false" ht="15" hidden="false" customHeight="false" outlineLevel="0" collapsed="false">
      <c r="A78" s="3" t="n">
        <v>46223</v>
      </c>
      <c r="B78" s="4" t="s">
        <v>118</v>
      </c>
      <c r="C78" s="4" t="s">
        <v>24</v>
      </c>
      <c r="D78" s="4" t="s">
        <v>19</v>
      </c>
      <c r="E78" s="4" t="s">
        <v>37</v>
      </c>
      <c r="F78" s="5" t="n">
        <v>2534</v>
      </c>
      <c r="G78" s="5" t="n">
        <v>2515</v>
      </c>
      <c r="H78" s="5" t="n">
        <v>98</v>
      </c>
      <c r="I78" s="5" t="n">
        <v>480</v>
      </c>
      <c r="J78" s="5" t="n">
        <v>19</v>
      </c>
      <c r="K78" s="4" t="n">
        <v>6</v>
      </c>
      <c r="L78" s="5" t="n">
        <v>2614</v>
      </c>
      <c r="M78" s="5" t="n">
        <v>1500</v>
      </c>
      <c r="N78" s="4" t="n">
        <v>48</v>
      </c>
      <c r="O78" s="6" t="n">
        <v>2.09</v>
      </c>
      <c r="P78" s="4" t="s">
        <v>38</v>
      </c>
      <c r="Q78" s="4" t="s">
        <v>22</v>
      </c>
    </row>
    <row r="79" customFormat="false" ht="15" hidden="false" customHeight="false" outlineLevel="0" collapsed="false">
      <c r="A79" s="3" t="n">
        <v>46223</v>
      </c>
      <c r="B79" s="4" t="s">
        <v>119</v>
      </c>
      <c r="C79" s="4" t="s">
        <v>29</v>
      </c>
      <c r="D79" s="4" t="s">
        <v>25</v>
      </c>
      <c r="E79" s="4" t="s">
        <v>40</v>
      </c>
      <c r="F79" s="5" t="n">
        <v>5069</v>
      </c>
      <c r="G79" s="5" t="n">
        <v>3752</v>
      </c>
      <c r="H79" s="5" t="n">
        <v>83</v>
      </c>
      <c r="I79" s="5" t="n">
        <v>480</v>
      </c>
      <c r="J79" s="5" t="n">
        <v>141</v>
      </c>
      <c r="K79" s="4" t="n">
        <v>12</v>
      </c>
      <c r="L79" s="5" t="n">
        <v>3853</v>
      </c>
      <c r="M79" s="5" t="n">
        <v>1155</v>
      </c>
      <c r="N79" s="4" t="n">
        <v>48</v>
      </c>
      <c r="O79" s="6" t="n">
        <v>1.27</v>
      </c>
      <c r="P79" s="4" t="s">
        <v>50</v>
      </c>
      <c r="Q79" s="4" t="s">
        <v>22</v>
      </c>
    </row>
    <row r="80" customFormat="false" ht="15" hidden="false" customHeight="false" outlineLevel="0" collapsed="false">
      <c r="A80" s="3" t="n">
        <v>46223</v>
      </c>
      <c r="B80" s="4" t="s">
        <v>120</v>
      </c>
      <c r="C80" s="4" t="s">
        <v>18</v>
      </c>
      <c r="D80" s="4" t="s">
        <v>30</v>
      </c>
      <c r="E80" s="4" t="s">
        <v>42</v>
      </c>
      <c r="F80" s="5" t="n">
        <v>10560</v>
      </c>
      <c r="G80" s="5" t="n">
        <v>9895</v>
      </c>
      <c r="H80" s="5" t="n">
        <v>120</v>
      </c>
      <c r="I80" s="5" t="n">
        <v>480</v>
      </c>
      <c r="J80" s="5" t="n">
        <v>26</v>
      </c>
      <c r="K80" s="4" t="n">
        <v>25</v>
      </c>
      <c r="L80" s="5" t="n">
        <v>10292</v>
      </c>
      <c r="M80" s="5" t="n">
        <v>1256</v>
      </c>
      <c r="N80" s="4" t="n">
        <v>48</v>
      </c>
      <c r="O80" s="6" t="n">
        <v>0.39</v>
      </c>
      <c r="P80" s="4" t="s">
        <v>65</v>
      </c>
      <c r="Q80" s="4" t="s">
        <v>22</v>
      </c>
    </row>
    <row r="81" customFormat="false" ht="15" hidden="false" customHeight="false" outlineLevel="0" collapsed="false">
      <c r="A81" s="3" t="n">
        <v>46223</v>
      </c>
      <c r="B81" s="4" t="s">
        <v>121</v>
      </c>
      <c r="C81" s="4" t="s">
        <v>24</v>
      </c>
      <c r="D81" s="4" t="s">
        <v>34</v>
      </c>
      <c r="E81" s="4" t="s">
        <v>44</v>
      </c>
      <c r="F81" s="5" t="n">
        <v>3379</v>
      </c>
      <c r="G81" s="5" t="n">
        <v>3429</v>
      </c>
      <c r="H81" s="5" t="n">
        <v>87</v>
      </c>
      <c r="I81" s="5" t="n">
        <v>480</v>
      </c>
      <c r="J81" s="5" t="n">
        <v>33</v>
      </c>
      <c r="K81" s="4" t="n">
        <v>8</v>
      </c>
      <c r="L81" s="5" t="n">
        <v>3568</v>
      </c>
      <c r="M81" s="5" t="n">
        <v>2453</v>
      </c>
      <c r="N81" s="4" t="n">
        <v>48</v>
      </c>
      <c r="O81" s="6" t="n">
        <v>2.33</v>
      </c>
      <c r="P81" s="4" t="s">
        <v>38</v>
      </c>
      <c r="Q81" s="4" t="s">
        <v>22</v>
      </c>
    </row>
    <row r="82" customFormat="false" ht="15" hidden="false" customHeight="false" outlineLevel="0" collapsed="false">
      <c r="A82" s="3" t="n">
        <v>46224</v>
      </c>
      <c r="B82" s="4" t="s">
        <v>122</v>
      </c>
      <c r="C82" s="4" t="s">
        <v>29</v>
      </c>
      <c r="D82" s="4" t="s">
        <v>19</v>
      </c>
      <c r="E82" s="4" t="s">
        <v>20</v>
      </c>
      <c r="F82" s="5" t="n">
        <v>3802</v>
      </c>
      <c r="G82" s="5" t="n">
        <v>3527</v>
      </c>
      <c r="H82" s="5" t="n">
        <v>63</v>
      </c>
      <c r="I82" s="5" t="n">
        <v>480</v>
      </c>
      <c r="J82" s="5" t="n">
        <v>22</v>
      </c>
      <c r="K82" s="4" t="n">
        <v>9</v>
      </c>
      <c r="L82" s="5" t="n">
        <v>3622</v>
      </c>
      <c r="M82" s="5" t="n">
        <v>1429</v>
      </c>
      <c r="N82" s="4" t="n">
        <v>48</v>
      </c>
      <c r="O82" s="6" t="n">
        <v>1.05</v>
      </c>
      <c r="P82" s="4" t="s">
        <v>27</v>
      </c>
      <c r="Q82" s="4" t="s">
        <v>22</v>
      </c>
    </row>
    <row r="83" customFormat="false" ht="15" hidden="false" customHeight="false" outlineLevel="0" collapsed="false">
      <c r="A83" s="3" t="n">
        <v>46224</v>
      </c>
      <c r="B83" s="4" t="s">
        <v>123</v>
      </c>
      <c r="C83" s="4" t="s">
        <v>18</v>
      </c>
      <c r="D83" s="4" t="s">
        <v>25</v>
      </c>
      <c r="E83" s="4" t="s">
        <v>26</v>
      </c>
      <c r="F83" s="5" t="n">
        <v>1690</v>
      </c>
      <c r="G83" s="5" t="n">
        <v>1689</v>
      </c>
      <c r="H83" s="5" t="n">
        <v>41</v>
      </c>
      <c r="I83" s="5" t="n">
        <v>480</v>
      </c>
      <c r="J83" s="5" t="n">
        <v>26</v>
      </c>
      <c r="K83" s="4" t="n">
        <v>4</v>
      </c>
      <c r="L83" s="5" t="n">
        <v>1760</v>
      </c>
      <c r="M83" s="5" t="n">
        <v>1008</v>
      </c>
      <c r="N83" s="4" t="n">
        <v>48</v>
      </c>
      <c r="O83" s="6" t="n">
        <v>4.68</v>
      </c>
      <c r="P83" s="4" t="s">
        <v>55</v>
      </c>
      <c r="Q83" s="4" t="s">
        <v>22</v>
      </c>
    </row>
    <row r="84" customFormat="false" ht="15" hidden="false" customHeight="false" outlineLevel="0" collapsed="false">
      <c r="A84" s="3" t="n">
        <v>46224</v>
      </c>
      <c r="B84" s="4" t="s">
        <v>124</v>
      </c>
      <c r="C84" s="4" t="s">
        <v>24</v>
      </c>
      <c r="D84" s="4" t="s">
        <v>30</v>
      </c>
      <c r="E84" s="4" t="s">
        <v>31</v>
      </c>
      <c r="F84" s="5" t="n">
        <v>8448</v>
      </c>
      <c r="G84" s="5" t="n">
        <v>6932</v>
      </c>
      <c r="H84" s="5" t="n">
        <v>116</v>
      </c>
      <c r="I84" s="5" t="n">
        <v>480</v>
      </c>
      <c r="J84" s="5" t="n">
        <v>101</v>
      </c>
      <c r="K84" s="4" t="n">
        <v>20</v>
      </c>
      <c r="L84" s="5" t="n">
        <v>7263</v>
      </c>
      <c r="M84" s="5" t="n">
        <v>1108</v>
      </c>
      <c r="N84" s="4" t="n">
        <v>48</v>
      </c>
      <c r="O84" s="6" t="n">
        <v>0.73</v>
      </c>
      <c r="P84" s="4" t="s">
        <v>50</v>
      </c>
      <c r="Q84" s="4" t="s">
        <v>22</v>
      </c>
    </row>
    <row r="85" customFormat="false" ht="15" hidden="false" customHeight="false" outlineLevel="0" collapsed="false">
      <c r="A85" s="3" t="n">
        <v>46224</v>
      </c>
      <c r="B85" s="4" t="s">
        <v>125</v>
      </c>
      <c r="C85" s="4" t="s">
        <v>29</v>
      </c>
      <c r="D85" s="4" t="s">
        <v>34</v>
      </c>
      <c r="E85" s="4" t="s">
        <v>35</v>
      </c>
      <c r="F85" s="5" t="n">
        <v>2112</v>
      </c>
      <c r="G85" s="5" t="n">
        <v>1829</v>
      </c>
      <c r="H85" s="5" t="n">
        <v>54</v>
      </c>
      <c r="I85" s="5" t="n">
        <v>480</v>
      </c>
      <c r="J85" s="5" t="n">
        <v>59</v>
      </c>
      <c r="K85" s="4" t="n">
        <v>5</v>
      </c>
      <c r="L85" s="5" t="n">
        <v>1906</v>
      </c>
      <c r="M85" s="5" t="n">
        <v>1046</v>
      </c>
      <c r="N85" s="4" t="n">
        <v>48</v>
      </c>
      <c r="O85" s="6" t="n">
        <v>3.08</v>
      </c>
      <c r="P85" s="4" t="s">
        <v>27</v>
      </c>
      <c r="Q85" s="4" t="s">
        <v>22</v>
      </c>
    </row>
    <row r="86" customFormat="false" ht="15" hidden="false" customHeight="false" outlineLevel="0" collapsed="false">
      <c r="A86" s="3" t="n">
        <v>46225</v>
      </c>
      <c r="B86" s="4" t="s">
        <v>126</v>
      </c>
      <c r="C86" s="4" t="s">
        <v>18</v>
      </c>
      <c r="D86" s="4" t="s">
        <v>19</v>
      </c>
      <c r="E86" s="4" t="s">
        <v>37</v>
      </c>
      <c r="F86" s="5" t="n">
        <v>2534</v>
      </c>
      <c r="G86" s="5" t="n">
        <v>2509</v>
      </c>
      <c r="H86" s="5" t="n">
        <v>65</v>
      </c>
      <c r="I86" s="5" t="n">
        <v>480</v>
      </c>
      <c r="J86" s="5" t="n">
        <v>17</v>
      </c>
      <c r="K86" s="4" t="n">
        <v>6</v>
      </c>
      <c r="L86" s="5" t="n">
        <v>2587</v>
      </c>
      <c r="M86" s="5" t="n">
        <v>1382</v>
      </c>
      <c r="N86" s="4" t="n">
        <v>48</v>
      </c>
      <c r="O86" s="6" t="n">
        <v>2.16</v>
      </c>
      <c r="P86" s="4" t="s">
        <v>21</v>
      </c>
      <c r="Q86" s="4" t="s">
        <v>22</v>
      </c>
    </row>
    <row r="87" customFormat="false" ht="15" hidden="false" customHeight="false" outlineLevel="0" collapsed="false">
      <c r="A87" s="3" t="n">
        <v>46225</v>
      </c>
      <c r="B87" s="4" t="s">
        <v>127</v>
      </c>
      <c r="C87" s="4" t="s">
        <v>24</v>
      </c>
      <c r="D87" s="4" t="s">
        <v>25</v>
      </c>
      <c r="E87" s="4" t="s">
        <v>40</v>
      </c>
      <c r="F87" s="5" t="n">
        <v>5069</v>
      </c>
      <c r="G87" s="5" t="n">
        <v>3683</v>
      </c>
      <c r="H87" s="5" t="n">
        <v>60</v>
      </c>
      <c r="I87" s="5" t="n">
        <v>480</v>
      </c>
      <c r="J87" s="5" t="n">
        <v>149</v>
      </c>
      <c r="K87" s="4" t="n">
        <v>12</v>
      </c>
      <c r="L87" s="5" t="n">
        <v>3779</v>
      </c>
      <c r="M87" s="5" t="n">
        <v>1162</v>
      </c>
      <c r="N87" s="4" t="n">
        <v>48</v>
      </c>
      <c r="O87" s="6" t="n">
        <v>1.3</v>
      </c>
      <c r="P87" s="4" t="s">
        <v>65</v>
      </c>
      <c r="Q87" s="4" t="s">
        <v>22</v>
      </c>
    </row>
    <row r="88" customFormat="false" ht="15" hidden="false" customHeight="false" outlineLevel="0" collapsed="false">
      <c r="A88" s="3" t="n">
        <v>46225</v>
      </c>
      <c r="B88" s="4" t="s">
        <v>128</v>
      </c>
      <c r="C88" s="4" t="s">
        <v>29</v>
      </c>
      <c r="D88" s="4" t="s">
        <v>30</v>
      </c>
      <c r="E88" s="4" t="s">
        <v>42</v>
      </c>
      <c r="F88" s="5" t="n">
        <v>10560</v>
      </c>
      <c r="G88" s="5" t="n">
        <v>10298</v>
      </c>
      <c r="H88" s="5" t="n">
        <v>132</v>
      </c>
      <c r="I88" s="5" t="n">
        <v>480</v>
      </c>
      <c r="J88" s="5" t="n">
        <v>0</v>
      </c>
      <c r="K88" s="4" t="n">
        <v>25</v>
      </c>
      <c r="L88" s="5" t="n">
        <v>10719</v>
      </c>
      <c r="M88" s="5" t="n">
        <v>1234</v>
      </c>
      <c r="N88" s="4" t="n">
        <v>48</v>
      </c>
      <c r="O88" s="6" t="n">
        <v>0.39</v>
      </c>
      <c r="P88" s="4" t="s">
        <v>32</v>
      </c>
      <c r="Q88" s="4" t="s">
        <v>22</v>
      </c>
    </row>
    <row r="89" customFormat="false" ht="15" hidden="false" customHeight="false" outlineLevel="0" collapsed="false">
      <c r="A89" s="3" t="n">
        <v>46225</v>
      </c>
      <c r="B89" s="4" t="s">
        <v>129</v>
      </c>
      <c r="C89" s="4" t="s">
        <v>18</v>
      </c>
      <c r="D89" s="4" t="s">
        <v>34</v>
      </c>
      <c r="E89" s="4" t="s">
        <v>44</v>
      </c>
      <c r="F89" s="5" t="n">
        <v>3379</v>
      </c>
      <c r="G89" s="5" t="n">
        <v>3072</v>
      </c>
      <c r="H89" s="5" t="n">
        <v>106</v>
      </c>
      <c r="I89" s="5" t="n">
        <v>480</v>
      </c>
      <c r="J89" s="5" t="n">
        <v>50</v>
      </c>
      <c r="K89" s="4" t="n">
        <v>8</v>
      </c>
      <c r="L89" s="5" t="n">
        <v>3171</v>
      </c>
      <c r="M89" s="5" t="n">
        <v>2342</v>
      </c>
      <c r="N89" s="4" t="n">
        <v>48</v>
      </c>
      <c r="O89" s="6" t="n">
        <v>2.34</v>
      </c>
      <c r="P89" s="4" t="s">
        <v>38</v>
      </c>
      <c r="Q89" s="4" t="s">
        <v>22</v>
      </c>
    </row>
    <row r="90" customFormat="false" ht="15" hidden="false" customHeight="false" outlineLevel="0" collapsed="false">
      <c r="A90" s="3" t="n">
        <v>46226</v>
      </c>
      <c r="B90" s="4" t="s">
        <v>130</v>
      </c>
      <c r="C90" s="4" t="s">
        <v>24</v>
      </c>
      <c r="D90" s="4" t="s">
        <v>19</v>
      </c>
      <c r="E90" s="4" t="s">
        <v>20</v>
      </c>
      <c r="F90" s="5" t="n">
        <v>3802</v>
      </c>
      <c r="G90" s="5" t="n">
        <v>3902</v>
      </c>
      <c r="H90" s="5" t="n">
        <v>72</v>
      </c>
      <c r="I90" s="5" t="n">
        <v>480</v>
      </c>
      <c r="J90" s="5" t="n">
        <v>27</v>
      </c>
      <c r="K90" s="4" t="n">
        <v>9</v>
      </c>
      <c r="L90" s="5" t="n">
        <v>4050</v>
      </c>
      <c r="M90" s="5" t="n">
        <v>1927</v>
      </c>
      <c r="N90" s="4" t="n">
        <v>48</v>
      </c>
      <c r="O90" s="6" t="n">
        <v>1.06</v>
      </c>
      <c r="P90" s="4" t="s">
        <v>50</v>
      </c>
      <c r="Q90" s="4" t="s">
        <v>22</v>
      </c>
    </row>
    <row r="91" customFormat="false" ht="15" hidden="false" customHeight="false" outlineLevel="0" collapsed="false">
      <c r="A91" s="3" t="n">
        <v>46226</v>
      </c>
      <c r="B91" s="4" t="s">
        <v>131</v>
      </c>
      <c r="C91" s="4" t="s">
        <v>29</v>
      </c>
      <c r="D91" s="4" t="s">
        <v>25</v>
      </c>
      <c r="E91" s="4" t="s">
        <v>26</v>
      </c>
      <c r="F91" s="5" t="n">
        <v>1690</v>
      </c>
      <c r="G91" s="5" t="n">
        <v>1670</v>
      </c>
      <c r="H91" s="5" t="n">
        <v>55</v>
      </c>
      <c r="I91" s="5" t="n">
        <v>480</v>
      </c>
      <c r="J91" s="5" t="n">
        <v>24</v>
      </c>
      <c r="K91" s="4" t="n">
        <v>4</v>
      </c>
      <c r="L91" s="5" t="n">
        <v>1743</v>
      </c>
      <c r="M91" s="5" t="n">
        <v>864</v>
      </c>
      <c r="N91" s="4" t="n">
        <v>48</v>
      </c>
      <c r="O91" s="6" t="n">
        <v>4.61</v>
      </c>
      <c r="P91" s="4" t="s">
        <v>50</v>
      </c>
      <c r="Q91" s="4" t="s">
        <v>22</v>
      </c>
    </row>
    <row r="92" customFormat="false" ht="15" hidden="false" customHeight="false" outlineLevel="0" collapsed="false">
      <c r="A92" s="3" t="n">
        <v>46226</v>
      </c>
      <c r="B92" s="4" t="s">
        <v>132</v>
      </c>
      <c r="C92" s="4" t="s">
        <v>18</v>
      </c>
      <c r="D92" s="4" t="s">
        <v>30</v>
      </c>
      <c r="E92" s="4" t="s">
        <v>31</v>
      </c>
      <c r="F92" s="5" t="n">
        <v>8448</v>
      </c>
      <c r="G92" s="5" t="n">
        <v>8175</v>
      </c>
      <c r="H92" s="5" t="n">
        <v>133</v>
      </c>
      <c r="I92" s="5" t="n">
        <v>480</v>
      </c>
      <c r="J92" s="5" t="n">
        <v>53</v>
      </c>
      <c r="K92" s="4" t="n">
        <v>20</v>
      </c>
      <c r="L92" s="5" t="n">
        <v>8428</v>
      </c>
      <c r="M92" s="5" t="n">
        <v>1142</v>
      </c>
      <c r="N92" s="4" t="n">
        <v>48</v>
      </c>
      <c r="O92" s="6" t="n">
        <v>0.75</v>
      </c>
      <c r="P92" s="4" t="s">
        <v>21</v>
      </c>
      <c r="Q92" s="4" t="s">
        <v>22</v>
      </c>
    </row>
    <row r="93" customFormat="false" ht="15" hidden="false" customHeight="false" outlineLevel="0" collapsed="false">
      <c r="A93" s="3" t="n">
        <v>46226</v>
      </c>
      <c r="B93" s="4" t="s">
        <v>133</v>
      </c>
      <c r="C93" s="4" t="s">
        <v>24</v>
      </c>
      <c r="D93" s="4" t="s">
        <v>34</v>
      </c>
      <c r="E93" s="4" t="s">
        <v>35</v>
      </c>
      <c r="F93" s="5" t="n">
        <v>2112</v>
      </c>
      <c r="G93" s="5" t="n">
        <v>1405</v>
      </c>
      <c r="H93" s="5" t="n">
        <v>34</v>
      </c>
      <c r="I93" s="5" t="n">
        <v>480</v>
      </c>
      <c r="J93" s="5" t="n">
        <v>170</v>
      </c>
      <c r="K93" s="4" t="n">
        <v>5</v>
      </c>
      <c r="L93" s="5" t="n">
        <v>1469</v>
      </c>
      <c r="M93" s="5" t="n">
        <v>772</v>
      </c>
      <c r="N93" s="4" t="n">
        <v>48</v>
      </c>
      <c r="O93" s="6" t="n">
        <v>3.04</v>
      </c>
      <c r="P93" s="4" t="s">
        <v>69</v>
      </c>
      <c r="Q93" s="4" t="s">
        <v>22</v>
      </c>
    </row>
    <row r="94" customFormat="false" ht="15" hidden="false" customHeight="false" outlineLevel="0" collapsed="false">
      <c r="A94" s="3" t="n">
        <v>46227</v>
      </c>
      <c r="B94" s="4" t="s">
        <v>134</v>
      </c>
      <c r="C94" s="4" t="s">
        <v>29</v>
      </c>
      <c r="D94" s="4" t="s">
        <v>19</v>
      </c>
      <c r="E94" s="4" t="s">
        <v>37</v>
      </c>
      <c r="F94" s="5" t="n">
        <v>2534</v>
      </c>
      <c r="G94" s="5" t="n">
        <v>2116</v>
      </c>
      <c r="H94" s="5" t="n">
        <v>79</v>
      </c>
      <c r="I94" s="5" t="n">
        <v>480</v>
      </c>
      <c r="J94" s="5" t="n">
        <v>72</v>
      </c>
      <c r="K94" s="4" t="n">
        <v>6</v>
      </c>
      <c r="L94" s="5" t="n">
        <v>2189</v>
      </c>
      <c r="M94" s="5" t="n">
        <v>1377</v>
      </c>
      <c r="N94" s="4" t="n">
        <v>48</v>
      </c>
      <c r="O94" s="6" t="n">
        <v>2.1</v>
      </c>
      <c r="P94" s="4" t="s">
        <v>65</v>
      </c>
      <c r="Q94" s="4" t="s">
        <v>22</v>
      </c>
    </row>
    <row r="95" customFormat="false" ht="15" hidden="false" customHeight="false" outlineLevel="0" collapsed="false">
      <c r="A95" s="3" t="n">
        <v>46227</v>
      </c>
      <c r="B95" s="4" t="s">
        <v>135</v>
      </c>
      <c r="C95" s="4" t="s">
        <v>18</v>
      </c>
      <c r="D95" s="4" t="s">
        <v>25</v>
      </c>
      <c r="E95" s="4" t="s">
        <v>40</v>
      </c>
      <c r="F95" s="5" t="n">
        <v>5069</v>
      </c>
      <c r="G95" s="5" t="n">
        <v>5113</v>
      </c>
      <c r="H95" s="5" t="n">
        <v>126</v>
      </c>
      <c r="I95" s="5" t="n">
        <v>480</v>
      </c>
      <c r="J95" s="5" t="n">
        <v>0</v>
      </c>
      <c r="K95" s="4" t="n">
        <v>12</v>
      </c>
      <c r="L95" s="5" t="n">
        <v>5294</v>
      </c>
      <c r="M95" s="5" t="n">
        <v>1667</v>
      </c>
      <c r="N95" s="4" t="n">
        <v>48</v>
      </c>
      <c r="O95" s="6" t="n">
        <v>1.3</v>
      </c>
      <c r="P95" s="4" t="s">
        <v>32</v>
      </c>
      <c r="Q95" s="4" t="s">
        <v>22</v>
      </c>
    </row>
    <row r="96" customFormat="false" ht="15" hidden="false" customHeight="false" outlineLevel="0" collapsed="false">
      <c r="A96" s="3" t="n">
        <v>46227</v>
      </c>
      <c r="B96" s="4" t="s">
        <v>136</v>
      </c>
      <c r="C96" s="4" t="s">
        <v>24</v>
      </c>
      <c r="D96" s="4" t="s">
        <v>30</v>
      </c>
      <c r="E96" s="4" t="s">
        <v>42</v>
      </c>
      <c r="F96" s="5" t="n">
        <v>10560</v>
      </c>
      <c r="G96" s="5" t="n">
        <v>10895</v>
      </c>
      <c r="H96" s="5" t="n">
        <v>108</v>
      </c>
      <c r="I96" s="5" t="n">
        <v>480</v>
      </c>
      <c r="J96" s="5" t="n">
        <v>26</v>
      </c>
      <c r="K96" s="4" t="n">
        <v>25</v>
      </c>
      <c r="L96" s="5" t="n">
        <v>11208</v>
      </c>
      <c r="M96" s="5" t="n">
        <v>1317</v>
      </c>
      <c r="N96" s="4" t="n">
        <v>48</v>
      </c>
      <c r="O96" s="6" t="n">
        <v>0.4</v>
      </c>
      <c r="P96" s="4" t="s">
        <v>27</v>
      </c>
      <c r="Q96" s="4" t="s">
        <v>22</v>
      </c>
    </row>
    <row r="97" customFormat="false" ht="15" hidden="false" customHeight="false" outlineLevel="0" collapsed="false">
      <c r="A97" s="3" t="n">
        <v>46227</v>
      </c>
      <c r="B97" s="4" t="s">
        <v>137</v>
      </c>
      <c r="C97" s="4" t="s">
        <v>29</v>
      </c>
      <c r="D97" s="4" t="s">
        <v>34</v>
      </c>
      <c r="E97" s="4" t="s">
        <v>44</v>
      </c>
      <c r="F97" s="5" t="n">
        <v>3379</v>
      </c>
      <c r="G97" s="5" t="n">
        <v>3064</v>
      </c>
      <c r="H97" s="5" t="n">
        <v>128</v>
      </c>
      <c r="I97" s="5" t="n">
        <v>480</v>
      </c>
      <c r="J97" s="5" t="n">
        <v>34</v>
      </c>
      <c r="K97" s="4" t="n">
        <v>8</v>
      </c>
      <c r="L97" s="5" t="n">
        <v>3184</v>
      </c>
      <c r="M97" s="5" t="n">
        <v>2031</v>
      </c>
      <c r="N97" s="4" t="n">
        <v>48</v>
      </c>
      <c r="O97" s="6" t="n">
        <v>2.34</v>
      </c>
      <c r="P97" s="4" t="s">
        <v>50</v>
      </c>
      <c r="Q97" s="4" t="s">
        <v>22</v>
      </c>
    </row>
    <row r="98" customFormat="false" ht="15" hidden="false" customHeight="false" outlineLevel="0" collapsed="false">
      <c r="A98" s="3" t="n">
        <v>46228</v>
      </c>
      <c r="B98" s="4" t="s">
        <v>138</v>
      </c>
      <c r="C98" s="4" t="s">
        <v>18</v>
      </c>
      <c r="D98" s="4" t="s">
        <v>19</v>
      </c>
      <c r="E98" s="4" t="s">
        <v>20</v>
      </c>
      <c r="F98" s="5" t="n">
        <v>3802</v>
      </c>
      <c r="G98" s="5" t="n">
        <v>3445</v>
      </c>
      <c r="H98" s="5" t="n">
        <v>78</v>
      </c>
      <c r="I98" s="5" t="n">
        <v>480</v>
      </c>
      <c r="J98" s="5" t="n">
        <v>54</v>
      </c>
      <c r="K98" s="4" t="n">
        <v>9</v>
      </c>
      <c r="L98" s="5" t="n">
        <v>3602</v>
      </c>
      <c r="M98" s="5" t="n">
        <v>1699</v>
      </c>
      <c r="N98" s="4" t="n">
        <v>48</v>
      </c>
      <c r="O98" s="6" t="n">
        <v>1.05</v>
      </c>
      <c r="P98" s="4" t="s">
        <v>38</v>
      </c>
      <c r="Q98" s="4" t="s">
        <v>22</v>
      </c>
    </row>
    <row r="99" customFormat="false" ht="15" hidden="false" customHeight="false" outlineLevel="0" collapsed="false">
      <c r="A99" s="3" t="n">
        <v>46228</v>
      </c>
      <c r="B99" s="4" t="s">
        <v>139</v>
      </c>
      <c r="C99" s="4" t="s">
        <v>24</v>
      </c>
      <c r="D99" s="4" t="s">
        <v>25</v>
      </c>
      <c r="E99" s="4" t="s">
        <v>26</v>
      </c>
      <c r="F99" s="5" t="n">
        <v>1690</v>
      </c>
      <c r="G99" s="5" t="n">
        <v>1614</v>
      </c>
      <c r="H99" s="5" t="n">
        <v>38</v>
      </c>
      <c r="I99" s="5" t="n">
        <v>480</v>
      </c>
      <c r="J99" s="5" t="n">
        <v>54</v>
      </c>
      <c r="K99" s="4" t="n">
        <v>4</v>
      </c>
      <c r="L99" s="5" t="n">
        <v>1676</v>
      </c>
      <c r="M99" s="5" t="n">
        <v>880</v>
      </c>
      <c r="N99" s="4" t="n">
        <v>48</v>
      </c>
      <c r="O99" s="6" t="n">
        <v>4.66</v>
      </c>
      <c r="P99" s="4" t="s">
        <v>38</v>
      </c>
      <c r="Q99" s="4" t="s">
        <v>22</v>
      </c>
    </row>
    <row r="100" customFormat="false" ht="15" hidden="false" customHeight="false" outlineLevel="0" collapsed="false">
      <c r="A100" s="3" t="n">
        <v>46228</v>
      </c>
      <c r="B100" s="4" t="s">
        <v>140</v>
      </c>
      <c r="C100" s="4" t="s">
        <v>29</v>
      </c>
      <c r="D100" s="4" t="s">
        <v>30</v>
      </c>
      <c r="E100" s="4" t="s">
        <v>31</v>
      </c>
      <c r="F100" s="5" t="n">
        <v>8448</v>
      </c>
      <c r="G100" s="5" t="n">
        <v>8620</v>
      </c>
      <c r="H100" s="5" t="n">
        <v>135</v>
      </c>
      <c r="I100" s="5" t="n">
        <v>480</v>
      </c>
      <c r="J100" s="5" t="n">
        <v>20</v>
      </c>
      <c r="K100" s="4" t="n">
        <v>20</v>
      </c>
      <c r="L100" s="5" t="n">
        <v>8985</v>
      </c>
      <c r="M100" s="5" t="n">
        <v>1332</v>
      </c>
      <c r="N100" s="4" t="n">
        <v>48</v>
      </c>
      <c r="O100" s="6" t="n">
        <v>0.77</v>
      </c>
      <c r="P100" s="4" t="s">
        <v>50</v>
      </c>
      <c r="Q100" s="4" t="s">
        <v>22</v>
      </c>
    </row>
    <row r="101" customFormat="false" ht="15" hidden="false" customHeight="false" outlineLevel="0" collapsed="false">
      <c r="A101" s="3" t="n">
        <v>46228</v>
      </c>
      <c r="B101" s="4" t="s">
        <v>141</v>
      </c>
      <c r="C101" s="4" t="s">
        <v>18</v>
      </c>
      <c r="D101" s="4" t="s">
        <v>34</v>
      </c>
      <c r="E101" s="4" t="s">
        <v>35</v>
      </c>
      <c r="F101" s="5" t="n">
        <v>2112</v>
      </c>
      <c r="G101" s="5" t="n">
        <v>2155</v>
      </c>
      <c r="H101" s="5" t="n">
        <v>64</v>
      </c>
      <c r="I101" s="5" t="n">
        <v>480</v>
      </c>
      <c r="J101" s="5" t="n">
        <v>0</v>
      </c>
      <c r="K101" s="4" t="n">
        <v>5</v>
      </c>
      <c r="L101" s="5" t="n">
        <v>2248</v>
      </c>
      <c r="M101" s="5" t="n">
        <v>1247</v>
      </c>
      <c r="N101" s="4" t="n">
        <v>48</v>
      </c>
      <c r="O101" s="6" t="n">
        <v>3.07</v>
      </c>
      <c r="P101" s="4" t="s">
        <v>32</v>
      </c>
      <c r="Q101" s="4" t="s">
        <v>22</v>
      </c>
    </row>
    <row r="102" customFormat="false" ht="15" hidden="false" customHeight="false" outlineLevel="0" collapsed="false">
      <c r="A102" s="3" t="n">
        <v>46229</v>
      </c>
      <c r="B102" s="4" t="s">
        <v>142</v>
      </c>
      <c r="C102" s="4" t="s">
        <v>24</v>
      </c>
      <c r="D102" s="4" t="s">
        <v>19</v>
      </c>
      <c r="E102" s="4" t="s">
        <v>37</v>
      </c>
      <c r="F102" s="5" t="n">
        <v>2534</v>
      </c>
      <c r="G102" s="5" t="n">
        <v>2499</v>
      </c>
      <c r="H102" s="5" t="n">
        <v>90</v>
      </c>
      <c r="I102" s="5" t="n">
        <v>480</v>
      </c>
      <c r="J102" s="5" t="n">
        <v>46</v>
      </c>
      <c r="K102" s="4" t="n">
        <v>6</v>
      </c>
      <c r="L102" s="5" t="n">
        <v>2589</v>
      </c>
      <c r="M102" s="5" t="n">
        <v>1379</v>
      </c>
      <c r="N102" s="4" t="n">
        <v>48</v>
      </c>
      <c r="O102" s="6" t="n">
        <v>2.12</v>
      </c>
      <c r="P102" s="4" t="s">
        <v>69</v>
      </c>
      <c r="Q102" s="4" t="s">
        <v>22</v>
      </c>
    </row>
    <row r="103" customFormat="false" ht="15" hidden="false" customHeight="false" outlineLevel="0" collapsed="false">
      <c r="A103" s="3" t="n">
        <v>46229</v>
      </c>
      <c r="B103" s="4" t="s">
        <v>143</v>
      </c>
      <c r="C103" s="4" t="s">
        <v>29</v>
      </c>
      <c r="D103" s="4" t="s">
        <v>25</v>
      </c>
      <c r="E103" s="4" t="s">
        <v>40</v>
      </c>
      <c r="F103" s="5" t="n">
        <v>5069</v>
      </c>
      <c r="G103" s="5" t="n">
        <v>4176</v>
      </c>
      <c r="H103" s="5" t="n">
        <v>124</v>
      </c>
      <c r="I103" s="5" t="n">
        <v>480</v>
      </c>
      <c r="J103" s="5" t="n">
        <v>68</v>
      </c>
      <c r="K103" s="4" t="n">
        <v>12</v>
      </c>
      <c r="L103" s="5" t="n">
        <v>4311</v>
      </c>
      <c r="M103" s="5" t="n">
        <v>1221</v>
      </c>
      <c r="N103" s="4" t="n">
        <v>48</v>
      </c>
      <c r="O103" s="6" t="n">
        <v>1.27</v>
      </c>
      <c r="P103" s="4" t="s">
        <v>69</v>
      </c>
      <c r="Q103" s="4" t="s">
        <v>22</v>
      </c>
    </row>
    <row r="104" customFormat="false" ht="15" hidden="false" customHeight="false" outlineLevel="0" collapsed="false">
      <c r="A104" s="3" t="n">
        <v>46229</v>
      </c>
      <c r="B104" s="4" t="s">
        <v>144</v>
      </c>
      <c r="C104" s="4" t="s">
        <v>18</v>
      </c>
      <c r="D104" s="4" t="s">
        <v>30</v>
      </c>
      <c r="E104" s="4" t="s">
        <v>42</v>
      </c>
      <c r="F104" s="5" t="n">
        <v>10560</v>
      </c>
      <c r="G104" s="5" t="n">
        <v>9004</v>
      </c>
      <c r="H104" s="5" t="n">
        <v>117</v>
      </c>
      <c r="I104" s="5" t="n">
        <v>480</v>
      </c>
      <c r="J104" s="5" t="n">
        <v>65</v>
      </c>
      <c r="K104" s="4" t="n">
        <v>25</v>
      </c>
      <c r="L104" s="5" t="n">
        <v>9369</v>
      </c>
      <c r="M104" s="5" t="n">
        <v>1024</v>
      </c>
      <c r="N104" s="4" t="n">
        <v>48</v>
      </c>
      <c r="O104" s="6" t="n">
        <v>0.41</v>
      </c>
      <c r="P104" s="4" t="s">
        <v>21</v>
      </c>
      <c r="Q104" s="4" t="s">
        <v>22</v>
      </c>
    </row>
    <row r="105" customFormat="false" ht="15" hidden="false" customHeight="false" outlineLevel="0" collapsed="false">
      <c r="A105" s="3" t="n">
        <v>46229</v>
      </c>
      <c r="B105" s="4" t="s">
        <v>145</v>
      </c>
      <c r="C105" s="4" t="s">
        <v>24</v>
      </c>
      <c r="D105" s="4" t="s">
        <v>34</v>
      </c>
      <c r="E105" s="4" t="s">
        <v>44</v>
      </c>
      <c r="F105" s="5" t="n">
        <v>3379</v>
      </c>
      <c r="G105" s="5" t="n">
        <v>3141</v>
      </c>
      <c r="H105" s="5" t="n">
        <v>117</v>
      </c>
      <c r="I105" s="5" t="n">
        <v>480</v>
      </c>
      <c r="J105" s="5" t="n">
        <v>24</v>
      </c>
      <c r="K105" s="4" t="n">
        <v>8</v>
      </c>
      <c r="L105" s="5" t="n">
        <v>3290</v>
      </c>
      <c r="M105" s="5" t="n">
        <v>2277</v>
      </c>
      <c r="N105" s="4" t="n">
        <v>48</v>
      </c>
      <c r="O105" s="6" t="n">
        <v>2.25</v>
      </c>
      <c r="P105" s="4" t="s">
        <v>21</v>
      </c>
      <c r="Q105" s="4" t="s">
        <v>22</v>
      </c>
    </row>
    <row r="106" customFormat="false" ht="15" hidden="false" customHeight="false" outlineLevel="0" collapsed="false">
      <c r="A106" s="3" t="n">
        <v>46230</v>
      </c>
      <c r="B106" s="4" t="s">
        <v>146</v>
      </c>
      <c r="C106" s="4" t="s">
        <v>29</v>
      </c>
      <c r="D106" s="4" t="s">
        <v>19</v>
      </c>
      <c r="E106" s="4" t="s">
        <v>20</v>
      </c>
      <c r="F106" s="5" t="n">
        <v>3802</v>
      </c>
      <c r="G106" s="5" t="n">
        <v>3471</v>
      </c>
      <c r="H106" s="5" t="n">
        <v>67</v>
      </c>
      <c r="I106" s="5" t="n">
        <v>480</v>
      </c>
      <c r="J106" s="5" t="n">
        <v>43</v>
      </c>
      <c r="K106" s="4" t="n">
        <v>9</v>
      </c>
      <c r="L106" s="5" t="n">
        <v>3631</v>
      </c>
      <c r="M106" s="5" t="n">
        <v>1468</v>
      </c>
      <c r="N106" s="4" t="n">
        <v>48</v>
      </c>
      <c r="O106" s="6" t="n">
        <v>1.04</v>
      </c>
      <c r="P106" s="4" t="s">
        <v>27</v>
      </c>
      <c r="Q106" s="4" t="s">
        <v>22</v>
      </c>
    </row>
    <row r="107" customFormat="false" ht="15" hidden="false" customHeight="false" outlineLevel="0" collapsed="false">
      <c r="A107" s="3" t="n">
        <v>46230</v>
      </c>
      <c r="B107" s="4" t="s">
        <v>147</v>
      </c>
      <c r="C107" s="4" t="s">
        <v>18</v>
      </c>
      <c r="D107" s="4" t="s">
        <v>25</v>
      </c>
      <c r="E107" s="4" t="s">
        <v>26</v>
      </c>
      <c r="F107" s="5" t="n">
        <v>1690</v>
      </c>
      <c r="G107" s="5" t="n">
        <v>1638</v>
      </c>
      <c r="H107" s="5" t="n">
        <v>34</v>
      </c>
      <c r="I107" s="5" t="n">
        <v>480</v>
      </c>
      <c r="J107" s="5" t="n">
        <v>53</v>
      </c>
      <c r="K107" s="4" t="n">
        <v>4</v>
      </c>
      <c r="L107" s="5" t="n">
        <v>1719</v>
      </c>
      <c r="M107" s="5" t="n">
        <v>929</v>
      </c>
      <c r="N107" s="4" t="n">
        <v>48</v>
      </c>
      <c r="O107" s="6" t="n">
        <v>4.54</v>
      </c>
      <c r="P107" s="4" t="s">
        <v>27</v>
      </c>
      <c r="Q107" s="4" t="s">
        <v>22</v>
      </c>
    </row>
    <row r="108" customFormat="false" ht="15" hidden="false" customHeight="false" outlineLevel="0" collapsed="false">
      <c r="A108" s="3" t="n">
        <v>46230</v>
      </c>
      <c r="B108" s="4" t="s">
        <v>148</v>
      </c>
      <c r="C108" s="4" t="s">
        <v>24</v>
      </c>
      <c r="D108" s="4" t="s">
        <v>30</v>
      </c>
      <c r="E108" s="4" t="s">
        <v>31</v>
      </c>
      <c r="F108" s="5" t="n">
        <v>8448</v>
      </c>
      <c r="G108" s="5" t="n">
        <v>7770</v>
      </c>
      <c r="H108" s="5" t="n">
        <v>116</v>
      </c>
      <c r="I108" s="5" t="n">
        <v>480</v>
      </c>
      <c r="J108" s="5" t="n">
        <v>58</v>
      </c>
      <c r="K108" s="4" t="n">
        <v>20</v>
      </c>
      <c r="L108" s="5" t="n">
        <v>8140</v>
      </c>
      <c r="M108" s="5" t="n">
        <v>1116</v>
      </c>
      <c r="N108" s="4" t="n">
        <v>48</v>
      </c>
      <c r="O108" s="6" t="n">
        <v>0.76</v>
      </c>
      <c r="P108" s="4" t="s">
        <v>21</v>
      </c>
      <c r="Q108" s="4" t="s">
        <v>22</v>
      </c>
    </row>
    <row r="109" customFormat="false" ht="15" hidden="false" customHeight="false" outlineLevel="0" collapsed="false">
      <c r="A109" s="3" t="n">
        <v>46230</v>
      </c>
      <c r="B109" s="4" t="s">
        <v>149</v>
      </c>
      <c r="C109" s="4" t="s">
        <v>29</v>
      </c>
      <c r="D109" s="4" t="s">
        <v>34</v>
      </c>
      <c r="E109" s="4" t="s">
        <v>35</v>
      </c>
      <c r="F109" s="5" t="n">
        <v>2112</v>
      </c>
      <c r="G109" s="5" t="n">
        <v>1965</v>
      </c>
      <c r="H109" s="5" t="n">
        <v>97</v>
      </c>
      <c r="I109" s="5" t="n">
        <v>480</v>
      </c>
      <c r="J109" s="5" t="n">
        <v>47</v>
      </c>
      <c r="K109" s="4" t="n">
        <v>5</v>
      </c>
      <c r="L109" s="5" t="n">
        <v>2047</v>
      </c>
      <c r="M109" s="5" t="n">
        <v>1154</v>
      </c>
      <c r="N109" s="4" t="n">
        <v>48</v>
      </c>
      <c r="O109" s="6" t="n">
        <v>3.02</v>
      </c>
      <c r="P109" s="4" t="s">
        <v>27</v>
      </c>
      <c r="Q109" s="4" t="s">
        <v>22</v>
      </c>
    </row>
    <row r="110" customFormat="false" ht="15" hidden="false" customHeight="false" outlineLevel="0" collapsed="false">
      <c r="A110" s="3" t="n">
        <v>46231</v>
      </c>
      <c r="B110" s="4" t="s">
        <v>150</v>
      </c>
      <c r="C110" s="4" t="s">
        <v>18</v>
      </c>
      <c r="D110" s="4" t="s">
        <v>19</v>
      </c>
      <c r="E110" s="4" t="s">
        <v>37</v>
      </c>
      <c r="F110" s="5" t="n">
        <v>2534</v>
      </c>
      <c r="G110" s="5" t="n">
        <v>2501</v>
      </c>
      <c r="H110" s="5" t="n">
        <v>89</v>
      </c>
      <c r="I110" s="5" t="n">
        <v>480</v>
      </c>
      <c r="J110" s="5" t="n">
        <v>26</v>
      </c>
      <c r="K110" s="4" t="n">
        <v>6</v>
      </c>
      <c r="L110" s="5" t="n">
        <v>2569</v>
      </c>
      <c r="M110" s="5" t="n">
        <v>1439</v>
      </c>
      <c r="N110" s="4" t="n">
        <v>48</v>
      </c>
      <c r="O110" s="6" t="n">
        <v>2.13</v>
      </c>
      <c r="P110" s="4" t="s">
        <v>50</v>
      </c>
      <c r="Q110" s="4" t="s">
        <v>22</v>
      </c>
    </row>
    <row r="111" customFormat="false" ht="15" hidden="false" customHeight="false" outlineLevel="0" collapsed="false">
      <c r="A111" s="3" t="n">
        <v>46231</v>
      </c>
      <c r="B111" s="4" t="s">
        <v>151</v>
      </c>
      <c r="C111" s="4" t="s">
        <v>24</v>
      </c>
      <c r="D111" s="4" t="s">
        <v>25</v>
      </c>
      <c r="E111" s="4" t="s">
        <v>40</v>
      </c>
      <c r="F111" s="5" t="n">
        <v>5069</v>
      </c>
      <c r="G111" s="5" t="n">
        <v>4722</v>
      </c>
      <c r="H111" s="5" t="n">
        <v>126</v>
      </c>
      <c r="I111" s="5" t="n">
        <v>480</v>
      </c>
      <c r="J111" s="5" t="n">
        <v>49</v>
      </c>
      <c r="K111" s="4" t="n">
        <v>12</v>
      </c>
      <c r="L111" s="5" t="n">
        <v>4938</v>
      </c>
      <c r="M111" s="5" t="n">
        <v>1348</v>
      </c>
      <c r="N111" s="4" t="n">
        <v>48</v>
      </c>
      <c r="O111" s="6" t="n">
        <v>1.33</v>
      </c>
      <c r="P111" s="4" t="s">
        <v>65</v>
      </c>
      <c r="Q111" s="4" t="s">
        <v>22</v>
      </c>
    </row>
    <row r="112" customFormat="false" ht="15" hidden="false" customHeight="false" outlineLevel="0" collapsed="false">
      <c r="A112" s="3" t="n">
        <v>46231</v>
      </c>
      <c r="B112" s="4" t="s">
        <v>152</v>
      </c>
      <c r="C112" s="4" t="s">
        <v>29</v>
      </c>
      <c r="D112" s="4" t="s">
        <v>30</v>
      </c>
      <c r="E112" s="4" t="s">
        <v>42</v>
      </c>
      <c r="F112" s="5" t="n">
        <v>10560</v>
      </c>
      <c r="G112" s="5" t="n">
        <v>10976</v>
      </c>
      <c r="H112" s="5" t="n">
        <v>115</v>
      </c>
      <c r="I112" s="5" t="n">
        <v>480</v>
      </c>
      <c r="J112" s="5" t="n">
        <v>0</v>
      </c>
      <c r="K112" s="4" t="n">
        <v>25</v>
      </c>
      <c r="L112" s="5" t="n">
        <v>11282</v>
      </c>
      <c r="M112" s="5" t="n">
        <v>1439</v>
      </c>
      <c r="N112" s="4" t="n">
        <v>48</v>
      </c>
      <c r="O112" s="6" t="n">
        <v>0.39</v>
      </c>
      <c r="P112" s="4" t="s">
        <v>32</v>
      </c>
      <c r="Q112" s="4" t="s">
        <v>22</v>
      </c>
    </row>
    <row r="113" customFormat="false" ht="15" hidden="false" customHeight="false" outlineLevel="0" collapsed="false">
      <c r="A113" s="3" t="n">
        <v>46231</v>
      </c>
      <c r="B113" s="4" t="s">
        <v>153</v>
      </c>
      <c r="C113" s="4" t="s">
        <v>18</v>
      </c>
      <c r="D113" s="4" t="s">
        <v>34</v>
      </c>
      <c r="E113" s="4" t="s">
        <v>44</v>
      </c>
      <c r="F113" s="5" t="n">
        <v>3379</v>
      </c>
      <c r="G113" s="5" t="n">
        <v>3580</v>
      </c>
      <c r="H113" s="5" t="n">
        <v>149</v>
      </c>
      <c r="I113" s="5" t="n">
        <v>480</v>
      </c>
      <c r="J113" s="5" t="n">
        <v>0</v>
      </c>
      <c r="K113" s="4" t="n">
        <v>8</v>
      </c>
      <c r="L113" s="5" t="n">
        <v>3756</v>
      </c>
      <c r="M113" s="5" t="n">
        <v>2659</v>
      </c>
      <c r="N113" s="4" t="n">
        <v>48</v>
      </c>
      <c r="O113" s="6" t="n">
        <v>2.28</v>
      </c>
      <c r="P113" s="4" t="s">
        <v>32</v>
      </c>
      <c r="Q113" s="4" t="s">
        <v>22</v>
      </c>
    </row>
    <row r="114" customFormat="false" ht="15" hidden="false" customHeight="false" outlineLevel="0" collapsed="false">
      <c r="A114" s="3" t="n">
        <v>46232</v>
      </c>
      <c r="B114" s="4" t="s">
        <v>154</v>
      </c>
      <c r="C114" s="4" t="s">
        <v>24</v>
      </c>
      <c r="D114" s="4" t="s">
        <v>19</v>
      </c>
      <c r="E114" s="4" t="s">
        <v>20</v>
      </c>
      <c r="F114" s="5" t="n">
        <v>3802</v>
      </c>
      <c r="G114" s="5" t="n">
        <v>3680</v>
      </c>
      <c r="H114" s="5" t="n">
        <v>84</v>
      </c>
      <c r="I114" s="5" t="n">
        <v>480</v>
      </c>
      <c r="J114" s="5" t="n">
        <v>39</v>
      </c>
      <c r="K114" s="4" t="n">
        <v>9</v>
      </c>
      <c r="L114" s="5" t="n">
        <v>3826</v>
      </c>
      <c r="M114" s="5" t="n">
        <v>1763</v>
      </c>
      <c r="N114" s="4" t="n">
        <v>48</v>
      </c>
      <c r="O114" s="6" t="n">
        <v>1.08</v>
      </c>
      <c r="P114" s="4" t="s">
        <v>50</v>
      </c>
      <c r="Q114" s="4" t="s">
        <v>22</v>
      </c>
    </row>
    <row r="115" customFormat="false" ht="15" hidden="false" customHeight="false" outlineLevel="0" collapsed="false">
      <c r="A115" s="3" t="n">
        <v>46232</v>
      </c>
      <c r="B115" s="4" t="s">
        <v>155</v>
      </c>
      <c r="C115" s="4" t="s">
        <v>29</v>
      </c>
      <c r="D115" s="4" t="s">
        <v>25</v>
      </c>
      <c r="E115" s="4" t="s">
        <v>26</v>
      </c>
      <c r="F115" s="5" t="n">
        <v>1690</v>
      </c>
      <c r="G115" s="5" t="n">
        <v>1663</v>
      </c>
      <c r="H115" s="5" t="n">
        <v>66</v>
      </c>
      <c r="I115" s="5" t="n">
        <v>480</v>
      </c>
      <c r="J115" s="5" t="n">
        <v>16</v>
      </c>
      <c r="K115" s="4" t="n">
        <v>4</v>
      </c>
      <c r="L115" s="5" t="n">
        <v>1714</v>
      </c>
      <c r="M115" s="5" t="n">
        <v>835</v>
      </c>
      <c r="N115" s="4" t="n">
        <v>48</v>
      </c>
      <c r="O115" s="6" t="n">
        <v>4.69</v>
      </c>
      <c r="P115" s="4" t="s">
        <v>69</v>
      </c>
      <c r="Q115" s="4" t="s">
        <v>22</v>
      </c>
    </row>
    <row r="116" customFormat="false" ht="15" hidden="false" customHeight="false" outlineLevel="0" collapsed="false">
      <c r="A116" s="3" t="n">
        <v>46232</v>
      </c>
      <c r="B116" s="4" t="s">
        <v>156</v>
      </c>
      <c r="C116" s="4" t="s">
        <v>18</v>
      </c>
      <c r="D116" s="4" t="s">
        <v>30</v>
      </c>
      <c r="E116" s="4" t="s">
        <v>31</v>
      </c>
      <c r="F116" s="5" t="n">
        <v>8448</v>
      </c>
      <c r="G116" s="5" t="n">
        <v>8573</v>
      </c>
      <c r="H116" s="5" t="n">
        <v>108</v>
      </c>
      <c r="I116" s="5" t="n">
        <v>480</v>
      </c>
      <c r="J116" s="5" t="n">
        <v>31</v>
      </c>
      <c r="K116" s="4" t="n">
        <v>20</v>
      </c>
      <c r="L116" s="5" t="n">
        <v>8893</v>
      </c>
      <c r="M116" s="5" t="n">
        <v>1182</v>
      </c>
      <c r="N116" s="4" t="n">
        <v>48</v>
      </c>
      <c r="O116" s="6" t="n">
        <v>0.77</v>
      </c>
      <c r="P116" s="4" t="s">
        <v>21</v>
      </c>
      <c r="Q116" s="4" t="s">
        <v>22</v>
      </c>
    </row>
    <row r="117" customFormat="false" ht="15" hidden="false" customHeight="false" outlineLevel="0" collapsed="false">
      <c r="A117" s="3" t="n">
        <v>46232</v>
      </c>
      <c r="B117" s="4" t="s">
        <v>157</v>
      </c>
      <c r="C117" s="4" t="s">
        <v>24</v>
      </c>
      <c r="D117" s="4" t="s">
        <v>34</v>
      </c>
      <c r="E117" s="4" t="s">
        <v>35</v>
      </c>
      <c r="F117" s="5" t="n">
        <v>2112</v>
      </c>
      <c r="G117" s="5" t="n">
        <v>2052</v>
      </c>
      <c r="H117" s="5" t="n">
        <v>67</v>
      </c>
      <c r="I117" s="5" t="n">
        <v>480</v>
      </c>
      <c r="J117" s="5" t="n">
        <v>50</v>
      </c>
      <c r="K117" s="4" t="n">
        <v>5</v>
      </c>
      <c r="L117" s="5" t="n">
        <v>2141</v>
      </c>
      <c r="M117" s="5" t="n">
        <v>1051</v>
      </c>
      <c r="N117" s="4" t="n">
        <v>48</v>
      </c>
      <c r="O117" s="6" t="n">
        <v>2.98</v>
      </c>
      <c r="P117" s="4" t="s">
        <v>55</v>
      </c>
      <c r="Q117" s="4" t="s">
        <v>22</v>
      </c>
    </row>
    <row r="118" customFormat="false" ht="15" hidden="false" customHeight="false" outlineLevel="0" collapsed="false">
      <c r="A118" s="3" t="n">
        <v>46233</v>
      </c>
      <c r="B118" s="4" t="s">
        <v>158</v>
      </c>
      <c r="C118" s="4" t="s">
        <v>29</v>
      </c>
      <c r="D118" s="4" t="s">
        <v>19</v>
      </c>
      <c r="E118" s="4" t="s">
        <v>37</v>
      </c>
      <c r="F118" s="5" t="n">
        <v>2534</v>
      </c>
      <c r="G118" s="5" t="n">
        <v>2272</v>
      </c>
      <c r="H118" s="5" t="n">
        <v>73</v>
      </c>
      <c r="I118" s="5" t="n">
        <v>480</v>
      </c>
      <c r="J118" s="5" t="n">
        <v>31</v>
      </c>
      <c r="K118" s="4" t="n">
        <v>6</v>
      </c>
      <c r="L118" s="5" t="n">
        <v>2354</v>
      </c>
      <c r="M118" s="5" t="n">
        <v>1486</v>
      </c>
      <c r="N118" s="4" t="n">
        <v>48</v>
      </c>
      <c r="O118" s="6" t="n">
        <v>2.14</v>
      </c>
      <c r="P118" s="4" t="s">
        <v>65</v>
      </c>
      <c r="Q118" s="4" t="s">
        <v>22</v>
      </c>
    </row>
    <row r="119" customFormat="false" ht="15" hidden="false" customHeight="false" outlineLevel="0" collapsed="false">
      <c r="A119" s="3" t="n">
        <v>46233</v>
      </c>
      <c r="B119" s="4" t="s">
        <v>159</v>
      </c>
      <c r="C119" s="4" t="s">
        <v>18</v>
      </c>
      <c r="D119" s="4" t="s">
        <v>25</v>
      </c>
      <c r="E119" s="4" t="s">
        <v>40</v>
      </c>
      <c r="F119" s="5" t="n">
        <v>5069</v>
      </c>
      <c r="G119" s="5" t="n">
        <v>4623</v>
      </c>
      <c r="H119" s="5" t="n">
        <v>85</v>
      </c>
      <c r="I119" s="5" t="n">
        <v>480</v>
      </c>
      <c r="J119" s="5" t="n">
        <v>50</v>
      </c>
      <c r="K119" s="4" t="n">
        <v>12</v>
      </c>
      <c r="L119" s="5" t="n">
        <v>4761</v>
      </c>
      <c r="M119" s="5" t="n">
        <v>1282</v>
      </c>
      <c r="N119" s="4" t="n">
        <v>48</v>
      </c>
      <c r="O119" s="6" t="n">
        <v>1.33</v>
      </c>
      <c r="P119" s="4" t="s">
        <v>65</v>
      </c>
      <c r="Q119" s="4" t="s">
        <v>22</v>
      </c>
    </row>
    <row r="120" customFormat="false" ht="15" hidden="false" customHeight="false" outlineLevel="0" collapsed="false">
      <c r="A120" s="3" t="n">
        <v>46233</v>
      </c>
      <c r="B120" s="4" t="s">
        <v>160</v>
      </c>
      <c r="C120" s="4" t="s">
        <v>24</v>
      </c>
      <c r="D120" s="4" t="s">
        <v>30</v>
      </c>
      <c r="E120" s="4" t="s">
        <v>42</v>
      </c>
      <c r="F120" s="5" t="n">
        <v>10560</v>
      </c>
      <c r="G120" s="5" t="n">
        <v>9333</v>
      </c>
      <c r="H120" s="5" t="n">
        <v>115</v>
      </c>
      <c r="I120" s="5" t="n">
        <v>480</v>
      </c>
      <c r="J120" s="5" t="n">
        <v>47</v>
      </c>
      <c r="K120" s="4" t="n">
        <v>25</v>
      </c>
      <c r="L120" s="5" t="n">
        <v>9623</v>
      </c>
      <c r="M120" s="5" t="n">
        <v>1036</v>
      </c>
      <c r="N120" s="4" t="n">
        <v>48</v>
      </c>
      <c r="O120" s="6" t="n">
        <v>0.4</v>
      </c>
      <c r="P120" s="4" t="s">
        <v>27</v>
      </c>
      <c r="Q120" s="4" t="s">
        <v>22</v>
      </c>
    </row>
    <row r="121" customFormat="false" ht="15" hidden="false" customHeight="false" outlineLevel="0" collapsed="false">
      <c r="A121" s="3" t="n">
        <v>46233</v>
      </c>
      <c r="B121" s="4" t="s">
        <v>161</v>
      </c>
      <c r="C121" s="4" t="s">
        <v>29</v>
      </c>
      <c r="D121" s="4" t="s">
        <v>34</v>
      </c>
      <c r="E121" s="4" t="s">
        <v>44</v>
      </c>
      <c r="F121" s="5" t="n">
        <v>3379</v>
      </c>
      <c r="G121" s="5" t="n">
        <v>3305</v>
      </c>
      <c r="H121" s="5" t="n">
        <v>92</v>
      </c>
      <c r="I121" s="5" t="n">
        <v>480</v>
      </c>
      <c r="J121" s="5" t="n">
        <v>0</v>
      </c>
      <c r="K121" s="4" t="n">
        <v>8</v>
      </c>
      <c r="L121" s="5" t="n">
        <v>3459</v>
      </c>
      <c r="M121" s="5" t="n">
        <v>2234</v>
      </c>
      <c r="N121" s="4" t="n">
        <v>48</v>
      </c>
      <c r="O121" s="6" t="n">
        <v>2.25</v>
      </c>
      <c r="P121" s="4" t="s">
        <v>32</v>
      </c>
      <c r="Q121" s="4" t="s">
        <v>22</v>
      </c>
    </row>
    <row r="122" customFormat="false" ht="15" hidden="false" customHeight="false" outlineLevel="0" collapsed="false">
      <c r="A122" s="3" t="n">
        <v>46234</v>
      </c>
      <c r="B122" s="4" t="s">
        <v>162</v>
      </c>
      <c r="C122" s="4" t="s">
        <v>18</v>
      </c>
      <c r="D122" s="4" t="s">
        <v>19</v>
      </c>
      <c r="E122" s="4" t="s">
        <v>20</v>
      </c>
      <c r="F122" s="5" t="n">
        <v>3802</v>
      </c>
      <c r="G122" s="5" t="n">
        <v>3166</v>
      </c>
      <c r="H122" s="5" t="n">
        <v>51</v>
      </c>
      <c r="I122" s="5" t="n">
        <v>480</v>
      </c>
      <c r="J122" s="5" t="n">
        <v>77</v>
      </c>
      <c r="K122" s="4" t="n">
        <v>9</v>
      </c>
      <c r="L122" s="5" t="n">
        <v>3259</v>
      </c>
      <c r="M122" s="5" t="n">
        <v>1471</v>
      </c>
      <c r="N122" s="4" t="n">
        <v>48</v>
      </c>
      <c r="O122" s="6" t="n">
        <v>1.02</v>
      </c>
      <c r="P122" s="4" t="s">
        <v>21</v>
      </c>
      <c r="Q122" s="4" t="s">
        <v>22</v>
      </c>
    </row>
    <row r="123" customFormat="false" ht="15" hidden="false" customHeight="false" outlineLevel="0" collapsed="false">
      <c r="A123" s="3" t="n">
        <v>46234</v>
      </c>
      <c r="B123" s="4" t="s">
        <v>163</v>
      </c>
      <c r="C123" s="4" t="s">
        <v>24</v>
      </c>
      <c r="D123" s="4" t="s">
        <v>25</v>
      </c>
      <c r="E123" s="4" t="s">
        <v>26</v>
      </c>
      <c r="F123" s="5" t="n">
        <v>1690</v>
      </c>
      <c r="G123" s="5" t="n">
        <v>1697</v>
      </c>
      <c r="H123" s="5" t="n">
        <v>36</v>
      </c>
      <c r="I123" s="5" t="n">
        <v>480</v>
      </c>
      <c r="J123" s="5" t="n">
        <v>0</v>
      </c>
      <c r="K123" s="4" t="n">
        <v>4</v>
      </c>
      <c r="L123" s="5" t="n">
        <v>1747</v>
      </c>
      <c r="M123" s="5" t="n">
        <v>850</v>
      </c>
      <c r="N123" s="4" t="n">
        <v>48</v>
      </c>
      <c r="O123" s="6" t="n">
        <v>4.67</v>
      </c>
      <c r="P123" s="4" t="s">
        <v>32</v>
      </c>
      <c r="Q123" s="4" t="s">
        <v>22</v>
      </c>
    </row>
    <row r="124" customFormat="false" ht="15" hidden="false" customHeight="false" outlineLevel="0" collapsed="false">
      <c r="A124" s="3" t="n">
        <v>46234</v>
      </c>
      <c r="B124" s="4" t="s">
        <v>164</v>
      </c>
      <c r="C124" s="4" t="s">
        <v>29</v>
      </c>
      <c r="D124" s="4" t="s">
        <v>30</v>
      </c>
      <c r="E124" s="4" t="s">
        <v>31</v>
      </c>
      <c r="F124" s="5" t="n">
        <v>8448</v>
      </c>
      <c r="G124" s="5" t="n">
        <v>7933</v>
      </c>
      <c r="H124" s="5" t="n">
        <v>98</v>
      </c>
      <c r="I124" s="5" t="n">
        <v>480</v>
      </c>
      <c r="J124" s="5" t="n">
        <v>35</v>
      </c>
      <c r="K124" s="4" t="n">
        <v>20</v>
      </c>
      <c r="L124" s="5" t="n">
        <v>8231</v>
      </c>
      <c r="M124" s="5" t="n">
        <v>1296</v>
      </c>
      <c r="N124" s="4" t="n">
        <v>48</v>
      </c>
      <c r="O124" s="6" t="n">
        <v>0.73</v>
      </c>
      <c r="P124" s="4" t="s">
        <v>55</v>
      </c>
      <c r="Q124" s="4" t="s">
        <v>22</v>
      </c>
    </row>
    <row r="125" customFormat="false" ht="15" hidden="false" customHeight="false" outlineLevel="0" collapsed="false">
      <c r="A125" s="3" t="n">
        <v>46234</v>
      </c>
      <c r="B125" s="4" t="s">
        <v>165</v>
      </c>
      <c r="C125" s="4" t="s">
        <v>18</v>
      </c>
      <c r="D125" s="4" t="s">
        <v>34</v>
      </c>
      <c r="E125" s="4" t="s">
        <v>35</v>
      </c>
      <c r="F125" s="5" t="n">
        <v>2112</v>
      </c>
      <c r="G125" s="5" t="n">
        <v>2189</v>
      </c>
      <c r="H125" s="5" t="n">
        <v>74</v>
      </c>
      <c r="I125" s="5" t="n">
        <v>480</v>
      </c>
      <c r="J125" s="5" t="n">
        <v>0</v>
      </c>
      <c r="K125" s="4" t="n">
        <v>5</v>
      </c>
      <c r="L125" s="5" t="n">
        <v>2296</v>
      </c>
      <c r="M125" s="5" t="n">
        <v>1098</v>
      </c>
      <c r="N125" s="4" t="n">
        <v>48</v>
      </c>
      <c r="O125" s="6" t="n">
        <v>3</v>
      </c>
      <c r="P125" s="4" t="s">
        <v>32</v>
      </c>
      <c r="Q125" s="4" t="s">
        <v>22</v>
      </c>
    </row>
    <row r="126" customFormat="false" ht="15" hidden="false" customHeight="false" outlineLevel="0" collapsed="false">
      <c r="A126" s="3" t="n">
        <v>46235</v>
      </c>
      <c r="B126" s="4" t="s">
        <v>166</v>
      </c>
      <c r="C126" s="4" t="s">
        <v>24</v>
      </c>
      <c r="D126" s="4" t="s">
        <v>19</v>
      </c>
      <c r="E126" s="4" t="s">
        <v>37</v>
      </c>
      <c r="F126" s="5" t="n">
        <v>2534</v>
      </c>
      <c r="G126" s="5" t="n">
        <v>2311</v>
      </c>
      <c r="H126" s="5" t="n">
        <v>46</v>
      </c>
      <c r="I126" s="5" t="n">
        <v>480</v>
      </c>
      <c r="J126" s="5" t="n">
        <v>36</v>
      </c>
      <c r="K126" s="4" t="n">
        <v>6</v>
      </c>
      <c r="L126" s="5" t="n">
        <v>2404</v>
      </c>
      <c r="M126" s="5" t="n">
        <v>1266</v>
      </c>
      <c r="N126" s="4" t="n">
        <v>48</v>
      </c>
      <c r="O126" s="6" t="n">
        <v>2.13</v>
      </c>
      <c r="P126" s="4" t="s">
        <v>69</v>
      </c>
      <c r="Q126" s="4" t="s">
        <v>22</v>
      </c>
    </row>
    <row r="127" customFormat="false" ht="15" hidden="false" customHeight="false" outlineLevel="0" collapsed="false">
      <c r="A127" s="3" t="n">
        <v>46235</v>
      </c>
      <c r="B127" s="4" t="s">
        <v>167</v>
      </c>
      <c r="C127" s="4" t="s">
        <v>29</v>
      </c>
      <c r="D127" s="4" t="s">
        <v>25</v>
      </c>
      <c r="E127" s="4" t="s">
        <v>40</v>
      </c>
      <c r="F127" s="5" t="n">
        <v>5069</v>
      </c>
      <c r="G127" s="5" t="n">
        <v>4801</v>
      </c>
      <c r="H127" s="5" t="n">
        <v>111</v>
      </c>
      <c r="I127" s="5" t="n">
        <v>480</v>
      </c>
      <c r="J127" s="5" t="n">
        <v>32</v>
      </c>
      <c r="K127" s="4" t="n">
        <v>12</v>
      </c>
      <c r="L127" s="5" t="n">
        <v>4994</v>
      </c>
      <c r="M127" s="5" t="n">
        <v>1325</v>
      </c>
      <c r="N127" s="4" t="n">
        <v>48</v>
      </c>
      <c r="O127" s="6" t="n">
        <v>1.36</v>
      </c>
      <c r="P127" s="4" t="s">
        <v>65</v>
      </c>
      <c r="Q127" s="4" t="s">
        <v>22</v>
      </c>
    </row>
    <row r="128" customFormat="false" ht="15" hidden="false" customHeight="false" outlineLevel="0" collapsed="false">
      <c r="A128" s="3" t="n">
        <v>46235</v>
      </c>
      <c r="B128" s="4" t="s">
        <v>168</v>
      </c>
      <c r="C128" s="4" t="s">
        <v>18</v>
      </c>
      <c r="D128" s="4" t="s">
        <v>30</v>
      </c>
      <c r="E128" s="4" t="s">
        <v>42</v>
      </c>
      <c r="F128" s="5" t="n">
        <v>10560</v>
      </c>
      <c r="G128" s="5" t="n">
        <v>9234</v>
      </c>
      <c r="H128" s="5" t="n">
        <v>89</v>
      </c>
      <c r="I128" s="5" t="n">
        <v>480</v>
      </c>
      <c r="J128" s="5" t="n">
        <v>61</v>
      </c>
      <c r="K128" s="4" t="n">
        <v>25</v>
      </c>
      <c r="L128" s="5" t="n">
        <v>9518</v>
      </c>
      <c r="M128" s="5" t="n">
        <v>1072</v>
      </c>
      <c r="N128" s="4" t="n">
        <v>48</v>
      </c>
      <c r="O128" s="6" t="n">
        <v>0.41</v>
      </c>
      <c r="P128" s="4" t="s">
        <v>55</v>
      </c>
      <c r="Q128" s="4" t="s">
        <v>22</v>
      </c>
    </row>
    <row r="129" customFormat="false" ht="15" hidden="false" customHeight="false" outlineLevel="0" collapsed="false">
      <c r="A129" s="3" t="n">
        <v>46235</v>
      </c>
      <c r="B129" s="4" t="s">
        <v>169</v>
      </c>
      <c r="C129" s="4" t="s">
        <v>24</v>
      </c>
      <c r="D129" s="4" t="s">
        <v>34</v>
      </c>
      <c r="E129" s="4" t="s">
        <v>44</v>
      </c>
      <c r="F129" s="5" t="n">
        <v>3379</v>
      </c>
      <c r="G129" s="5" t="n">
        <v>3216</v>
      </c>
      <c r="H129" s="5" t="n">
        <v>70</v>
      </c>
      <c r="I129" s="5" t="n">
        <v>480</v>
      </c>
      <c r="J129" s="5" t="n">
        <v>32</v>
      </c>
      <c r="K129" s="4" t="n">
        <v>8</v>
      </c>
      <c r="L129" s="5" t="n">
        <v>3371</v>
      </c>
      <c r="M129" s="5" t="n">
        <v>2056</v>
      </c>
      <c r="N129" s="4" t="n">
        <v>48</v>
      </c>
      <c r="O129" s="6" t="n">
        <v>2.42</v>
      </c>
      <c r="P129" s="4" t="s">
        <v>27</v>
      </c>
      <c r="Q129" s="4" t="s">
        <v>22</v>
      </c>
    </row>
    <row r="130" customFormat="false" ht="15" hidden="false" customHeight="false" outlineLevel="0" collapsed="false">
      <c r="A130" s="3" t="n">
        <v>46236</v>
      </c>
      <c r="B130" s="4" t="s">
        <v>170</v>
      </c>
      <c r="C130" s="4" t="s">
        <v>29</v>
      </c>
      <c r="D130" s="4" t="s">
        <v>19</v>
      </c>
      <c r="E130" s="4" t="s">
        <v>20</v>
      </c>
      <c r="F130" s="5" t="n">
        <v>3802</v>
      </c>
      <c r="G130" s="5" t="n">
        <v>3410</v>
      </c>
      <c r="H130" s="5" t="n">
        <v>88</v>
      </c>
      <c r="I130" s="5" t="n">
        <v>480</v>
      </c>
      <c r="J130" s="5" t="n">
        <v>57</v>
      </c>
      <c r="K130" s="4" t="n">
        <v>9</v>
      </c>
      <c r="L130" s="5" t="n">
        <v>3543</v>
      </c>
      <c r="M130" s="5" t="n">
        <v>1482</v>
      </c>
      <c r="N130" s="4" t="n">
        <v>48</v>
      </c>
      <c r="O130" s="6" t="n">
        <v>1.06</v>
      </c>
      <c r="P130" s="4" t="s">
        <v>38</v>
      </c>
      <c r="Q130" s="4" t="s">
        <v>22</v>
      </c>
    </row>
    <row r="131" customFormat="false" ht="15" hidden="false" customHeight="false" outlineLevel="0" collapsed="false">
      <c r="A131" s="3" t="n">
        <v>46236</v>
      </c>
      <c r="B131" s="4" t="s">
        <v>171</v>
      </c>
      <c r="C131" s="4" t="s">
        <v>18</v>
      </c>
      <c r="D131" s="4" t="s">
        <v>25</v>
      </c>
      <c r="E131" s="4" t="s">
        <v>26</v>
      </c>
      <c r="F131" s="5" t="n">
        <v>1690</v>
      </c>
      <c r="G131" s="5" t="n">
        <v>1503</v>
      </c>
      <c r="H131" s="5" t="n">
        <v>52</v>
      </c>
      <c r="I131" s="5" t="n">
        <v>480</v>
      </c>
      <c r="J131" s="5" t="n">
        <v>77</v>
      </c>
      <c r="K131" s="4" t="n">
        <v>4</v>
      </c>
      <c r="L131" s="5" t="n">
        <v>1563</v>
      </c>
      <c r="M131" s="5" t="n">
        <v>802</v>
      </c>
      <c r="N131" s="4" t="n">
        <v>48</v>
      </c>
      <c r="O131" s="6" t="n">
        <v>4.76</v>
      </c>
      <c r="P131" s="4" t="s">
        <v>38</v>
      </c>
      <c r="Q131" s="4" t="s">
        <v>22</v>
      </c>
    </row>
    <row r="132" customFormat="false" ht="15" hidden="false" customHeight="false" outlineLevel="0" collapsed="false">
      <c r="A132" s="3" t="n">
        <v>46236</v>
      </c>
      <c r="B132" s="4" t="s">
        <v>172</v>
      </c>
      <c r="C132" s="4" t="s">
        <v>24</v>
      </c>
      <c r="D132" s="4" t="s">
        <v>30</v>
      </c>
      <c r="E132" s="4" t="s">
        <v>31</v>
      </c>
      <c r="F132" s="5" t="n">
        <v>8448</v>
      </c>
      <c r="G132" s="5" t="n">
        <v>8633</v>
      </c>
      <c r="H132" s="5" t="n">
        <v>116</v>
      </c>
      <c r="I132" s="5" t="n">
        <v>480</v>
      </c>
      <c r="J132" s="5" t="n">
        <v>23</v>
      </c>
      <c r="K132" s="4" t="n">
        <v>20</v>
      </c>
      <c r="L132" s="5" t="n">
        <v>9013</v>
      </c>
      <c r="M132" s="5" t="n">
        <v>1314</v>
      </c>
      <c r="N132" s="4" t="n">
        <v>48</v>
      </c>
      <c r="O132" s="6" t="n">
        <v>0.79</v>
      </c>
      <c r="P132" s="4" t="s">
        <v>21</v>
      </c>
      <c r="Q132" s="4" t="s">
        <v>22</v>
      </c>
    </row>
    <row r="133" customFormat="false" ht="15" hidden="false" customHeight="false" outlineLevel="0" collapsed="false">
      <c r="A133" s="3" t="n">
        <v>46236</v>
      </c>
      <c r="B133" s="4" t="s">
        <v>173</v>
      </c>
      <c r="C133" s="4" t="s">
        <v>29</v>
      </c>
      <c r="D133" s="4" t="s">
        <v>34</v>
      </c>
      <c r="E133" s="4" t="s">
        <v>35</v>
      </c>
      <c r="F133" s="5" t="n">
        <v>2112</v>
      </c>
      <c r="G133" s="5" t="n">
        <v>2212</v>
      </c>
      <c r="H133" s="5" t="n">
        <v>101</v>
      </c>
      <c r="I133" s="5" t="n">
        <v>480</v>
      </c>
      <c r="J133" s="5" t="n">
        <v>0</v>
      </c>
      <c r="K133" s="4" t="n">
        <v>5</v>
      </c>
      <c r="L133" s="5" t="n">
        <v>2303</v>
      </c>
      <c r="M133" s="5" t="n">
        <v>1101</v>
      </c>
      <c r="N133" s="4" t="n">
        <v>48</v>
      </c>
      <c r="O133" s="6" t="n">
        <v>3.17</v>
      </c>
      <c r="P133" s="4" t="s">
        <v>32</v>
      </c>
      <c r="Q133" s="4" t="s">
        <v>22</v>
      </c>
    </row>
    <row r="134" customFormat="false" ht="15" hidden="false" customHeight="false" outlineLevel="0" collapsed="false">
      <c r="A134" s="3" t="n">
        <v>46237</v>
      </c>
      <c r="B134" s="4" t="s">
        <v>174</v>
      </c>
      <c r="C134" s="4" t="s">
        <v>18</v>
      </c>
      <c r="D134" s="4" t="s">
        <v>19</v>
      </c>
      <c r="E134" s="4" t="s">
        <v>37</v>
      </c>
      <c r="F134" s="5" t="n">
        <v>2534</v>
      </c>
      <c r="G134" s="5" t="n">
        <v>2454</v>
      </c>
      <c r="H134" s="5" t="n">
        <v>64</v>
      </c>
      <c r="I134" s="5" t="n">
        <v>480</v>
      </c>
      <c r="J134" s="5" t="n">
        <v>21</v>
      </c>
      <c r="K134" s="4" t="n">
        <v>6</v>
      </c>
      <c r="L134" s="5" t="n">
        <v>2516</v>
      </c>
      <c r="M134" s="5" t="n">
        <v>1581</v>
      </c>
      <c r="N134" s="4" t="n">
        <v>48</v>
      </c>
      <c r="O134" s="6" t="n">
        <v>2.17</v>
      </c>
      <c r="P134" s="4" t="s">
        <v>55</v>
      </c>
      <c r="Q134" s="4" t="s">
        <v>22</v>
      </c>
    </row>
    <row r="135" customFormat="false" ht="15" hidden="false" customHeight="false" outlineLevel="0" collapsed="false">
      <c r="A135" s="3" t="n">
        <v>46237</v>
      </c>
      <c r="B135" s="4" t="s">
        <v>175</v>
      </c>
      <c r="C135" s="4" t="s">
        <v>24</v>
      </c>
      <c r="D135" s="4" t="s">
        <v>25</v>
      </c>
      <c r="E135" s="4" t="s">
        <v>40</v>
      </c>
      <c r="F135" s="5" t="n">
        <v>5069</v>
      </c>
      <c r="G135" s="5" t="n">
        <v>4722</v>
      </c>
      <c r="H135" s="5" t="n">
        <v>73</v>
      </c>
      <c r="I135" s="5" t="n">
        <v>480</v>
      </c>
      <c r="J135" s="5" t="n">
        <v>59</v>
      </c>
      <c r="K135" s="4" t="n">
        <v>12</v>
      </c>
      <c r="L135" s="5" t="n">
        <v>4890</v>
      </c>
      <c r="M135" s="5" t="n">
        <v>1372</v>
      </c>
      <c r="N135" s="4" t="n">
        <v>48</v>
      </c>
      <c r="O135" s="6" t="n">
        <v>1.33</v>
      </c>
      <c r="P135" s="4" t="s">
        <v>21</v>
      </c>
      <c r="Q135" s="4" t="s">
        <v>22</v>
      </c>
    </row>
    <row r="136" customFormat="false" ht="15" hidden="false" customHeight="false" outlineLevel="0" collapsed="false">
      <c r="A136" s="3" t="n">
        <v>46237</v>
      </c>
      <c r="B136" s="4" t="s">
        <v>176</v>
      </c>
      <c r="C136" s="4" t="s">
        <v>29</v>
      </c>
      <c r="D136" s="4" t="s">
        <v>30</v>
      </c>
      <c r="E136" s="4" t="s">
        <v>42</v>
      </c>
      <c r="F136" s="5" t="n">
        <v>10560</v>
      </c>
      <c r="G136" s="5" t="n">
        <v>10761</v>
      </c>
      <c r="H136" s="5" t="n">
        <v>86</v>
      </c>
      <c r="I136" s="5" t="n">
        <v>480</v>
      </c>
      <c r="J136" s="5" t="n">
        <v>0</v>
      </c>
      <c r="K136" s="4" t="n">
        <v>25</v>
      </c>
      <c r="L136" s="5" t="n">
        <v>11044</v>
      </c>
      <c r="M136" s="5" t="n">
        <v>1203</v>
      </c>
      <c r="N136" s="4" t="n">
        <v>48</v>
      </c>
      <c r="O136" s="6" t="n">
        <v>0.41</v>
      </c>
      <c r="P136" s="4" t="s">
        <v>32</v>
      </c>
      <c r="Q136" s="4" t="s">
        <v>22</v>
      </c>
    </row>
    <row r="137" customFormat="false" ht="15" hidden="false" customHeight="false" outlineLevel="0" collapsed="false">
      <c r="A137" s="3" t="n">
        <v>46237</v>
      </c>
      <c r="B137" s="4" t="s">
        <v>177</v>
      </c>
      <c r="C137" s="4" t="s">
        <v>18</v>
      </c>
      <c r="D137" s="4" t="s">
        <v>34</v>
      </c>
      <c r="E137" s="4" t="s">
        <v>44</v>
      </c>
      <c r="F137" s="5" t="n">
        <v>3379</v>
      </c>
      <c r="G137" s="5" t="n">
        <v>3118</v>
      </c>
      <c r="H137" s="5" t="n">
        <v>77</v>
      </c>
      <c r="I137" s="5" t="n">
        <v>480</v>
      </c>
      <c r="J137" s="5" t="n">
        <v>49</v>
      </c>
      <c r="K137" s="4" t="n">
        <v>8</v>
      </c>
      <c r="L137" s="5" t="n">
        <v>3255</v>
      </c>
      <c r="M137" s="5" t="n">
        <v>2014</v>
      </c>
      <c r="N137" s="4" t="n">
        <v>48</v>
      </c>
      <c r="O137" s="6" t="n">
        <v>2.36</v>
      </c>
      <c r="P137" s="4" t="s">
        <v>50</v>
      </c>
      <c r="Q137" s="4" t="s">
        <v>22</v>
      </c>
    </row>
    <row r="138" customFormat="false" ht="15" hidden="false" customHeight="false" outlineLevel="0" collapsed="false">
      <c r="A138" s="3" t="n">
        <v>46238</v>
      </c>
      <c r="B138" s="4" t="s">
        <v>178</v>
      </c>
      <c r="C138" s="4" t="s">
        <v>24</v>
      </c>
      <c r="D138" s="4" t="s">
        <v>19</v>
      </c>
      <c r="E138" s="4" t="s">
        <v>20</v>
      </c>
      <c r="F138" s="5" t="n">
        <v>3802</v>
      </c>
      <c r="G138" s="5" t="n">
        <v>3455</v>
      </c>
      <c r="H138" s="5" t="n">
        <v>63</v>
      </c>
      <c r="I138" s="5" t="n">
        <v>480</v>
      </c>
      <c r="J138" s="5" t="n">
        <v>36</v>
      </c>
      <c r="K138" s="4" t="n">
        <v>9</v>
      </c>
      <c r="L138" s="5" t="n">
        <v>3593</v>
      </c>
      <c r="M138" s="5" t="n">
        <v>1402</v>
      </c>
      <c r="N138" s="4" t="n">
        <v>48</v>
      </c>
      <c r="O138" s="6" t="n">
        <v>1.07</v>
      </c>
      <c r="P138" s="4" t="s">
        <v>27</v>
      </c>
      <c r="Q138" s="4" t="s">
        <v>22</v>
      </c>
    </row>
    <row r="139" customFormat="false" ht="15" hidden="false" customHeight="false" outlineLevel="0" collapsed="false">
      <c r="A139" s="3" t="n">
        <v>46238</v>
      </c>
      <c r="B139" s="4" t="s">
        <v>179</v>
      </c>
      <c r="C139" s="4" t="s">
        <v>29</v>
      </c>
      <c r="D139" s="4" t="s">
        <v>25</v>
      </c>
      <c r="E139" s="4" t="s">
        <v>26</v>
      </c>
      <c r="F139" s="5" t="n">
        <v>1690</v>
      </c>
      <c r="G139" s="5" t="n">
        <v>1520</v>
      </c>
      <c r="H139" s="5" t="n">
        <v>55</v>
      </c>
      <c r="I139" s="5" t="n">
        <v>480</v>
      </c>
      <c r="J139" s="5" t="n">
        <v>28</v>
      </c>
      <c r="K139" s="4" t="n">
        <v>4</v>
      </c>
      <c r="L139" s="5" t="n">
        <v>1565</v>
      </c>
      <c r="M139" s="5" t="n">
        <v>816</v>
      </c>
      <c r="N139" s="4" t="n">
        <v>48</v>
      </c>
      <c r="O139" s="6" t="n">
        <v>4.8</v>
      </c>
      <c r="P139" s="4" t="s">
        <v>50</v>
      </c>
      <c r="Q139" s="4" t="s">
        <v>22</v>
      </c>
    </row>
    <row r="140" customFormat="false" ht="15" hidden="false" customHeight="false" outlineLevel="0" collapsed="false">
      <c r="A140" s="3" t="n">
        <v>46238</v>
      </c>
      <c r="B140" s="4" t="s">
        <v>180</v>
      </c>
      <c r="C140" s="4" t="s">
        <v>18</v>
      </c>
      <c r="D140" s="4" t="s">
        <v>30</v>
      </c>
      <c r="E140" s="4" t="s">
        <v>31</v>
      </c>
      <c r="F140" s="5" t="n">
        <v>8448</v>
      </c>
      <c r="G140" s="5" t="n">
        <v>9030</v>
      </c>
      <c r="H140" s="5" t="n">
        <v>89</v>
      </c>
      <c r="I140" s="5" t="n">
        <v>480</v>
      </c>
      <c r="J140" s="5" t="n">
        <v>0</v>
      </c>
      <c r="K140" s="4" t="n">
        <v>20</v>
      </c>
      <c r="L140" s="5" t="n">
        <v>9450</v>
      </c>
      <c r="M140" s="5" t="n">
        <v>1231</v>
      </c>
      <c r="N140" s="4" t="n">
        <v>48</v>
      </c>
      <c r="O140" s="6" t="n">
        <v>0.75</v>
      </c>
      <c r="P140" s="4" t="s">
        <v>32</v>
      </c>
      <c r="Q140" s="4" t="s">
        <v>22</v>
      </c>
    </row>
    <row r="141" customFormat="false" ht="15" hidden="false" customHeight="false" outlineLevel="0" collapsed="false">
      <c r="A141" s="3" t="n">
        <v>46238</v>
      </c>
      <c r="B141" s="4" t="s">
        <v>181</v>
      </c>
      <c r="C141" s="4" t="s">
        <v>24</v>
      </c>
      <c r="D141" s="4" t="s">
        <v>34</v>
      </c>
      <c r="E141" s="4" t="s">
        <v>35</v>
      </c>
      <c r="F141" s="5" t="n">
        <v>2112</v>
      </c>
      <c r="G141" s="5" t="n">
        <v>2202</v>
      </c>
      <c r="H141" s="5" t="n">
        <v>82</v>
      </c>
      <c r="I141" s="5" t="n">
        <v>480</v>
      </c>
      <c r="J141" s="5" t="n">
        <v>0</v>
      </c>
      <c r="K141" s="4" t="n">
        <v>5</v>
      </c>
      <c r="L141" s="5" t="n">
        <v>2296</v>
      </c>
      <c r="M141" s="5" t="n">
        <v>1191</v>
      </c>
      <c r="N141" s="4" t="n">
        <v>48</v>
      </c>
      <c r="O141" s="6" t="n">
        <v>3.02</v>
      </c>
      <c r="P141" s="4" t="s">
        <v>32</v>
      </c>
      <c r="Q141" s="4" t="s">
        <v>22</v>
      </c>
    </row>
    <row r="142" customFormat="false" ht="15" hidden="false" customHeight="false" outlineLevel="0" collapsed="false">
      <c r="A142" s="3" t="n">
        <v>46239</v>
      </c>
      <c r="B142" s="4" t="s">
        <v>182</v>
      </c>
      <c r="C142" s="4" t="s">
        <v>29</v>
      </c>
      <c r="D142" s="4" t="s">
        <v>19</v>
      </c>
      <c r="E142" s="4" t="s">
        <v>37</v>
      </c>
      <c r="F142" s="5" t="n">
        <v>2534</v>
      </c>
      <c r="G142" s="5" t="n">
        <v>2293</v>
      </c>
      <c r="H142" s="5" t="n">
        <v>110</v>
      </c>
      <c r="I142" s="5" t="n">
        <v>480</v>
      </c>
      <c r="J142" s="5" t="n">
        <v>66</v>
      </c>
      <c r="K142" s="4" t="n">
        <v>6</v>
      </c>
      <c r="L142" s="5" t="n">
        <v>2355</v>
      </c>
      <c r="M142" s="5" t="n">
        <v>1471</v>
      </c>
      <c r="N142" s="4" t="n">
        <v>48</v>
      </c>
      <c r="O142" s="6" t="n">
        <v>2.13</v>
      </c>
      <c r="P142" s="4" t="s">
        <v>27</v>
      </c>
      <c r="Q142" s="4" t="s">
        <v>22</v>
      </c>
    </row>
    <row r="143" customFormat="false" ht="15" hidden="false" customHeight="false" outlineLevel="0" collapsed="false">
      <c r="A143" s="3" t="n">
        <v>46239</v>
      </c>
      <c r="B143" s="4" t="s">
        <v>183</v>
      </c>
      <c r="C143" s="4" t="s">
        <v>18</v>
      </c>
      <c r="D143" s="4" t="s">
        <v>25</v>
      </c>
      <c r="E143" s="4" t="s">
        <v>40</v>
      </c>
      <c r="F143" s="5" t="n">
        <v>5069</v>
      </c>
      <c r="G143" s="5" t="n">
        <v>4752</v>
      </c>
      <c r="H143" s="5" t="n">
        <v>82</v>
      </c>
      <c r="I143" s="5" t="n">
        <v>480</v>
      </c>
      <c r="J143" s="5" t="n">
        <v>37</v>
      </c>
      <c r="K143" s="4" t="n">
        <v>12</v>
      </c>
      <c r="L143" s="5" t="n">
        <v>4891</v>
      </c>
      <c r="M143" s="5" t="n">
        <v>1429</v>
      </c>
      <c r="N143" s="4" t="n">
        <v>48</v>
      </c>
      <c r="O143" s="6" t="n">
        <v>1.31</v>
      </c>
      <c r="P143" s="4" t="s">
        <v>50</v>
      </c>
      <c r="Q143" s="4" t="s">
        <v>22</v>
      </c>
    </row>
    <row r="144" customFormat="false" ht="15" hidden="false" customHeight="false" outlineLevel="0" collapsed="false">
      <c r="A144" s="3" t="n">
        <v>46239</v>
      </c>
      <c r="B144" s="4" t="s">
        <v>184</v>
      </c>
      <c r="C144" s="4" t="s">
        <v>24</v>
      </c>
      <c r="D144" s="4" t="s">
        <v>30</v>
      </c>
      <c r="E144" s="4" t="s">
        <v>42</v>
      </c>
      <c r="F144" s="5" t="n">
        <v>10560</v>
      </c>
      <c r="G144" s="5" t="n">
        <v>10739</v>
      </c>
      <c r="H144" s="5" t="n">
        <v>127</v>
      </c>
      <c r="I144" s="5" t="n">
        <v>480</v>
      </c>
      <c r="J144" s="5" t="n">
        <v>0</v>
      </c>
      <c r="K144" s="4" t="n">
        <v>25</v>
      </c>
      <c r="L144" s="5" t="n">
        <v>11227</v>
      </c>
      <c r="M144" s="5" t="n">
        <v>1370</v>
      </c>
      <c r="N144" s="4" t="n">
        <v>48</v>
      </c>
      <c r="O144" s="6" t="n">
        <v>0.41</v>
      </c>
      <c r="P144" s="4" t="s">
        <v>32</v>
      </c>
      <c r="Q144" s="4" t="s">
        <v>22</v>
      </c>
    </row>
    <row r="145" customFormat="false" ht="15" hidden="false" customHeight="false" outlineLevel="0" collapsed="false">
      <c r="A145" s="3" t="n">
        <v>46239</v>
      </c>
      <c r="B145" s="4" t="s">
        <v>185</v>
      </c>
      <c r="C145" s="4" t="s">
        <v>29</v>
      </c>
      <c r="D145" s="4" t="s">
        <v>34</v>
      </c>
      <c r="E145" s="4" t="s">
        <v>44</v>
      </c>
      <c r="F145" s="5" t="n">
        <v>3379</v>
      </c>
      <c r="G145" s="5" t="n">
        <v>3159</v>
      </c>
      <c r="H145" s="5" t="n">
        <v>84</v>
      </c>
      <c r="I145" s="5" t="n">
        <v>480</v>
      </c>
      <c r="J145" s="5" t="n">
        <v>44</v>
      </c>
      <c r="K145" s="4" t="n">
        <v>8</v>
      </c>
      <c r="L145" s="5" t="n">
        <v>3299</v>
      </c>
      <c r="M145" s="5" t="n">
        <v>2209</v>
      </c>
      <c r="N145" s="4" t="n">
        <v>48</v>
      </c>
      <c r="O145" s="6" t="n">
        <v>2.41</v>
      </c>
      <c r="P145" s="4" t="s">
        <v>55</v>
      </c>
      <c r="Q145" s="4" t="s">
        <v>22</v>
      </c>
    </row>
    <row r="146" customFormat="false" ht="15" hidden="false" customHeight="false" outlineLevel="0" collapsed="false">
      <c r="A146" s="3" t="n">
        <v>46240</v>
      </c>
      <c r="B146" s="4" t="s">
        <v>186</v>
      </c>
      <c r="C146" s="4" t="s">
        <v>18</v>
      </c>
      <c r="D146" s="4" t="s">
        <v>19</v>
      </c>
      <c r="E146" s="4" t="s">
        <v>20</v>
      </c>
      <c r="F146" s="5" t="n">
        <v>3802</v>
      </c>
      <c r="G146" s="5" t="n">
        <v>3183</v>
      </c>
      <c r="H146" s="5" t="n">
        <v>70</v>
      </c>
      <c r="I146" s="5" t="n">
        <v>480</v>
      </c>
      <c r="J146" s="5" t="n">
        <v>97</v>
      </c>
      <c r="K146" s="4" t="n">
        <v>9</v>
      </c>
      <c r="L146" s="5" t="n">
        <v>3331</v>
      </c>
      <c r="M146" s="5" t="n">
        <v>1469</v>
      </c>
      <c r="N146" s="4" t="n">
        <v>48</v>
      </c>
      <c r="O146" s="6" t="n">
        <v>1.06</v>
      </c>
      <c r="P146" s="4" t="s">
        <v>27</v>
      </c>
      <c r="Q146" s="4" t="s">
        <v>22</v>
      </c>
    </row>
    <row r="147" customFormat="false" ht="15" hidden="false" customHeight="false" outlineLevel="0" collapsed="false">
      <c r="A147" s="3" t="n">
        <v>46240</v>
      </c>
      <c r="B147" s="4" t="s">
        <v>187</v>
      </c>
      <c r="C147" s="4" t="s">
        <v>24</v>
      </c>
      <c r="D147" s="4" t="s">
        <v>25</v>
      </c>
      <c r="E147" s="4" t="s">
        <v>26</v>
      </c>
      <c r="F147" s="5" t="n">
        <v>1690</v>
      </c>
      <c r="G147" s="5" t="n">
        <v>1555</v>
      </c>
      <c r="H147" s="5" t="n">
        <v>39</v>
      </c>
      <c r="I147" s="5" t="n">
        <v>480</v>
      </c>
      <c r="J147" s="5" t="n">
        <v>31</v>
      </c>
      <c r="K147" s="4" t="n">
        <v>4</v>
      </c>
      <c r="L147" s="5" t="n">
        <v>1606</v>
      </c>
      <c r="M147" s="5" t="n">
        <v>847</v>
      </c>
      <c r="N147" s="4" t="n">
        <v>48</v>
      </c>
      <c r="O147" s="6" t="n">
        <v>4.61</v>
      </c>
      <c r="P147" s="4" t="s">
        <v>21</v>
      </c>
      <c r="Q147" s="4" t="s">
        <v>22</v>
      </c>
    </row>
    <row r="148" customFormat="false" ht="15" hidden="false" customHeight="false" outlineLevel="0" collapsed="false">
      <c r="A148" s="3" t="n">
        <v>46240</v>
      </c>
      <c r="B148" s="4" t="s">
        <v>188</v>
      </c>
      <c r="C148" s="4" t="s">
        <v>29</v>
      </c>
      <c r="D148" s="4" t="s">
        <v>30</v>
      </c>
      <c r="E148" s="4" t="s">
        <v>31</v>
      </c>
      <c r="F148" s="5" t="n">
        <v>8448</v>
      </c>
      <c r="G148" s="5" t="n">
        <v>7248</v>
      </c>
      <c r="H148" s="5" t="n">
        <v>131</v>
      </c>
      <c r="I148" s="5" t="n">
        <v>480</v>
      </c>
      <c r="J148" s="5" t="n">
        <v>78</v>
      </c>
      <c r="K148" s="4" t="n">
        <v>20</v>
      </c>
      <c r="L148" s="5" t="n">
        <v>7513</v>
      </c>
      <c r="M148" s="5" t="n">
        <v>1099</v>
      </c>
      <c r="N148" s="4" t="n">
        <v>48</v>
      </c>
      <c r="O148" s="6" t="n">
        <v>0.79</v>
      </c>
      <c r="P148" s="4" t="s">
        <v>38</v>
      </c>
      <c r="Q148" s="4" t="s">
        <v>22</v>
      </c>
    </row>
    <row r="149" customFormat="false" ht="15" hidden="false" customHeight="false" outlineLevel="0" collapsed="false">
      <c r="A149" s="3" t="n">
        <v>46240</v>
      </c>
      <c r="B149" s="4" t="s">
        <v>189</v>
      </c>
      <c r="C149" s="4" t="s">
        <v>18</v>
      </c>
      <c r="D149" s="4" t="s">
        <v>34</v>
      </c>
      <c r="E149" s="4" t="s">
        <v>35</v>
      </c>
      <c r="F149" s="5" t="n">
        <v>2112</v>
      </c>
      <c r="G149" s="5" t="n">
        <v>1838</v>
      </c>
      <c r="H149" s="5" t="n">
        <v>63</v>
      </c>
      <c r="I149" s="5" t="n">
        <v>480</v>
      </c>
      <c r="J149" s="5" t="n">
        <v>68</v>
      </c>
      <c r="K149" s="4" t="n">
        <v>5</v>
      </c>
      <c r="L149" s="5" t="n">
        <v>1891</v>
      </c>
      <c r="M149" s="5" t="n">
        <v>922</v>
      </c>
      <c r="N149" s="4" t="n">
        <v>48</v>
      </c>
      <c r="O149" s="6" t="n">
        <v>3.02</v>
      </c>
      <c r="P149" s="4" t="s">
        <v>27</v>
      </c>
      <c r="Q149" s="4" t="s">
        <v>22</v>
      </c>
    </row>
    <row r="150" customFormat="false" ht="15" hidden="false" customHeight="false" outlineLevel="0" collapsed="false">
      <c r="A150" s="3" t="n">
        <v>46241</v>
      </c>
      <c r="B150" s="4" t="s">
        <v>190</v>
      </c>
      <c r="C150" s="4" t="s">
        <v>24</v>
      </c>
      <c r="D150" s="4" t="s">
        <v>19</v>
      </c>
      <c r="E150" s="4" t="s">
        <v>37</v>
      </c>
      <c r="F150" s="5" t="n">
        <v>2534</v>
      </c>
      <c r="G150" s="5" t="n">
        <v>2237</v>
      </c>
      <c r="H150" s="5" t="n">
        <v>54</v>
      </c>
      <c r="I150" s="5" t="n">
        <v>480</v>
      </c>
      <c r="J150" s="5" t="n">
        <v>55</v>
      </c>
      <c r="K150" s="4" t="n">
        <v>6</v>
      </c>
      <c r="L150" s="5" t="n">
        <v>2317</v>
      </c>
      <c r="M150" s="5" t="n">
        <v>1326</v>
      </c>
      <c r="N150" s="4" t="n">
        <v>48</v>
      </c>
      <c r="O150" s="6" t="n">
        <v>2.17</v>
      </c>
      <c r="P150" s="4" t="s">
        <v>27</v>
      </c>
      <c r="Q150" s="4" t="s">
        <v>22</v>
      </c>
    </row>
    <row r="151" customFormat="false" ht="15" hidden="false" customHeight="false" outlineLevel="0" collapsed="false">
      <c r="A151" s="3" t="n">
        <v>46241</v>
      </c>
      <c r="B151" s="4" t="s">
        <v>191</v>
      </c>
      <c r="C151" s="4" t="s">
        <v>29</v>
      </c>
      <c r="D151" s="4" t="s">
        <v>25</v>
      </c>
      <c r="E151" s="4" t="s">
        <v>40</v>
      </c>
      <c r="F151" s="5" t="n">
        <v>5069</v>
      </c>
      <c r="G151" s="5" t="n">
        <v>4729</v>
      </c>
      <c r="H151" s="5" t="n">
        <v>122</v>
      </c>
      <c r="I151" s="5" t="n">
        <v>480</v>
      </c>
      <c r="J151" s="5" t="n">
        <v>29</v>
      </c>
      <c r="K151" s="4" t="n">
        <v>12</v>
      </c>
      <c r="L151" s="5" t="n">
        <v>4941</v>
      </c>
      <c r="M151" s="5" t="n">
        <v>1460</v>
      </c>
      <c r="N151" s="4" t="n">
        <v>48</v>
      </c>
      <c r="O151" s="6" t="n">
        <v>1.3</v>
      </c>
      <c r="P151" s="4" t="s">
        <v>50</v>
      </c>
      <c r="Q151" s="4" t="s">
        <v>22</v>
      </c>
    </row>
    <row r="152" customFormat="false" ht="15" hidden="false" customHeight="false" outlineLevel="0" collapsed="false">
      <c r="A152" s="3" t="n">
        <v>46241</v>
      </c>
      <c r="B152" s="4" t="s">
        <v>192</v>
      </c>
      <c r="C152" s="4" t="s">
        <v>18</v>
      </c>
      <c r="D152" s="4" t="s">
        <v>30</v>
      </c>
      <c r="E152" s="4" t="s">
        <v>42</v>
      </c>
      <c r="F152" s="5" t="n">
        <v>10560</v>
      </c>
      <c r="G152" s="5" t="n">
        <v>10529</v>
      </c>
      <c r="H152" s="5" t="n">
        <v>140</v>
      </c>
      <c r="I152" s="5" t="n">
        <v>480</v>
      </c>
      <c r="J152" s="5" t="n">
        <v>25</v>
      </c>
      <c r="K152" s="4" t="n">
        <v>25</v>
      </c>
      <c r="L152" s="5" t="n">
        <v>11022</v>
      </c>
      <c r="M152" s="5" t="n">
        <v>1221</v>
      </c>
      <c r="N152" s="4" t="n">
        <v>48</v>
      </c>
      <c r="O152" s="6" t="n">
        <v>0.41</v>
      </c>
      <c r="P152" s="4" t="s">
        <v>55</v>
      </c>
      <c r="Q152" s="4" t="s">
        <v>22</v>
      </c>
    </row>
    <row r="153" customFormat="false" ht="15" hidden="false" customHeight="false" outlineLevel="0" collapsed="false">
      <c r="A153" s="3" t="n">
        <v>46241</v>
      </c>
      <c r="B153" s="4" t="s">
        <v>193</v>
      </c>
      <c r="C153" s="4" t="s">
        <v>24</v>
      </c>
      <c r="D153" s="4" t="s">
        <v>34</v>
      </c>
      <c r="E153" s="4" t="s">
        <v>44</v>
      </c>
      <c r="F153" s="5" t="n">
        <v>3379</v>
      </c>
      <c r="G153" s="5" t="n">
        <v>2561</v>
      </c>
      <c r="H153" s="5" t="n">
        <v>83</v>
      </c>
      <c r="I153" s="5" t="n">
        <v>480</v>
      </c>
      <c r="J153" s="5" t="n">
        <v>124</v>
      </c>
      <c r="K153" s="4" t="n">
        <v>8</v>
      </c>
      <c r="L153" s="5" t="n">
        <v>2685</v>
      </c>
      <c r="M153" s="5" t="n">
        <v>1724</v>
      </c>
      <c r="N153" s="4" t="n">
        <v>48</v>
      </c>
      <c r="O153" s="6" t="n">
        <v>2.35</v>
      </c>
      <c r="P153" s="4" t="s">
        <v>27</v>
      </c>
      <c r="Q153" s="4" t="s">
        <v>22</v>
      </c>
    </row>
    <row r="154" customFormat="false" ht="15" hidden="false" customHeight="false" outlineLevel="0" collapsed="false">
      <c r="A154" s="3" t="n">
        <v>46242</v>
      </c>
      <c r="B154" s="4" t="s">
        <v>194</v>
      </c>
      <c r="C154" s="4" t="s">
        <v>29</v>
      </c>
      <c r="D154" s="4" t="s">
        <v>19</v>
      </c>
      <c r="E154" s="4" t="s">
        <v>20</v>
      </c>
      <c r="F154" s="5" t="n">
        <v>3802</v>
      </c>
      <c r="G154" s="5" t="n">
        <v>3918</v>
      </c>
      <c r="H154" s="5" t="n">
        <v>119</v>
      </c>
      <c r="I154" s="5" t="n">
        <v>480</v>
      </c>
      <c r="J154" s="5" t="n">
        <v>0</v>
      </c>
      <c r="K154" s="4" t="n">
        <v>9</v>
      </c>
      <c r="L154" s="5" t="n">
        <v>4088</v>
      </c>
      <c r="M154" s="5" t="n">
        <v>1828</v>
      </c>
      <c r="N154" s="4" t="n">
        <v>48</v>
      </c>
      <c r="O154" s="6" t="n">
        <v>1.08</v>
      </c>
      <c r="P154" s="4" t="s">
        <v>32</v>
      </c>
      <c r="Q154" s="4" t="s">
        <v>22</v>
      </c>
    </row>
    <row r="155" customFormat="false" ht="15" hidden="false" customHeight="false" outlineLevel="0" collapsed="false">
      <c r="A155" s="3" t="n">
        <v>46242</v>
      </c>
      <c r="B155" s="4" t="s">
        <v>195</v>
      </c>
      <c r="C155" s="4" t="s">
        <v>18</v>
      </c>
      <c r="D155" s="4" t="s">
        <v>25</v>
      </c>
      <c r="E155" s="4" t="s">
        <v>26</v>
      </c>
      <c r="F155" s="5" t="n">
        <v>1690</v>
      </c>
      <c r="G155" s="5" t="n">
        <v>1563</v>
      </c>
      <c r="H155" s="5" t="n">
        <v>30</v>
      </c>
      <c r="I155" s="5" t="n">
        <v>480</v>
      </c>
      <c r="J155" s="5" t="n">
        <v>35</v>
      </c>
      <c r="K155" s="4" t="n">
        <v>4</v>
      </c>
      <c r="L155" s="5" t="n">
        <v>1639</v>
      </c>
      <c r="M155" s="5" t="n">
        <v>857</v>
      </c>
      <c r="N155" s="4" t="n">
        <v>48</v>
      </c>
      <c r="O155" s="6" t="n">
        <v>4.66</v>
      </c>
      <c r="P155" s="4" t="s">
        <v>50</v>
      </c>
      <c r="Q155" s="4" t="s">
        <v>22</v>
      </c>
    </row>
    <row r="156" customFormat="false" ht="15" hidden="false" customHeight="false" outlineLevel="0" collapsed="false">
      <c r="A156" s="3" t="n">
        <v>46242</v>
      </c>
      <c r="B156" s="4" t="s">
        <v>196</v>
      </c>
      <c r="C156" s="4" t="s">
        <v>24</v>
      </c>
      <c r="D156" s="4" t="s">
        <v>30</v>
      </c>
      <c r="E156" s="4" t="s">
        <v>31</v>
      </c>
      <c r="F156" s="5" t="n">
        <v>8448</v>
      </c>
      <c r="G156" s="5" t="n">
        <v>7609</v>
      </c>
      <c r="H156" s="5" t="n">
        <v>145</v>
      </c>
      <c r="I156" s="5" t="n">
        <v>480</v>
      </c>
      <c r="J156" s="5" t="n">
        <v>74</v>
      </c>
      <c r="K156" s="4" t="n">
        <v>20</v>
      </c>
      <c r="L156" s="5" t="n">
        <v>7967</v>
      </c>
      <c r="M156" s="5" t="n">
        <v>1036</v>
      </c>
      <c r="N156" s="4" t="n">
        <v>48</v>
      </c>
      <c r="O156" s="6" t="n">
        <v>0.76</v>
      </c>
      <c r="P156" s="4" t="s">
        <v>21</v>
      </c>
      <c r="Q156" s="4" t="s">
        <v>22</v>
      </c>
    </row>
    <row r="157" customFormat="false" ht="15" hidden="false" customHeight="false" outlineLevel="0" collapsed="false">
      <c r="A157" s="3" t="n">
        <v>46242</v>
      </c>
      <c r="B157" s="4" t="s">
        <v>197</v>
      </c>
      <c r="C157" s="4" t="s">
        <v>29</v>
      </c>
      <c r="D157" s="4" t="s">
        <v>34</v>
      </c>
      <c r="E157" s="4" t="s">
        <v>35</v>
      </c>
      <c r="F157" s="5" t="n">
        <v>2112</v>
      </c>
      <c r="G157" s="5" t="n">
        <v>2077</v>
      </c>
      <c r="H157" s="5" t="n">
        <v>106</v>
      </c>
      <c r="I157" s="5" t="n">
        <v>480</v>
      </c>
      <c r="J157" s="5" t="n">
        <v>30</v>
      </c>
      <c r="K157" s="4" t="n">
        <v>5</v>
      </c>
      <c r="L157" s="5" t="n">
        <v>2171</v>
      </c>
      <c r="M157" s="5" t="n">
        <v>1066</v>
      </c>
      <c r="N157" s="4" t="n">
        <v>48</v>
      </c>
      <c r="O157" s="6" t="n">
        <v>3.08</v>
      </c>
      <c r="P157" s="4" t="s">
        <v>21</v>
      </c>
      <c r="Q157" s="4" t="s">
        <v>22</v>
      </c>
    </row>
    <row r="158" customFormat="false" ht="15" hidden="false" customHeight="false" outlineLevel="0" collapsed="false">
      <c r="A158" s="3" t="n">
        <v>46243</v>
      </c>
      <c r="B158" s="4" t="s">
        <v>198</v>
      </c>
      <c r="C158" s="4" t="s">
        <v>18</v>
      </c>
      <c r="D158" s="4" t="s">
        <v>19</v>
      </c>
      <c r="E158" s="4" t="s">
        <v>37</v>
      </c>
      <c r="F158" s="5" t="n">
        <v>2534</v>
      </c>
      <c r="G158" s="5" t="n">
        <v>2436</v>
      </c>
      <c r="H158" s="5" t="n">
        <v>88</v>
      </c>
      <c r="I158" s="5" t="n">
        <v>480</v>
      </c>
      <c r="J158" s="5" t="n">
        <v>23</v>
      </c>
      <c r="K158" s="4" t="n">
        <v>6</v>
      </c>
      <c r="L158" s="5" t="n">
        <v>2524</v>
      </c>
      <c r="M158" s="5" t="n">
        <v>1472</v>
      </c>
      <c r="N158" s="4" t="n">
        <v>48</v>
      </c>
      <c r="O158" s="6" t="n">
        <v>2.14</v>
      </c>
      <c r="P158" s="4" t="s">
        <v>50</v>
      </c>
      <c r="Q158" s="4" t="s">
        <v>22</v>
      </c>
    </row>
    <row r="159" customFormat="false" ht="15" hidden="false" customHeight="false" outlineLevel="0" collapsed="false">
      <c r="A159" s="3" t="n">
        <v>46243</v>
      </c>
      <c r="B159" s="4" t="s">
        <v>199</v>
      </c>
      <c r="C159" s="4" t="s">
        <v>24</v>
      </c>
      <c r="D159" s="4" t="s">
        <v>25</v>
      </c>
      <c r="E159" s="4" t="s">
        <v>40</v>
      </c>
      <c r="F159" s="5" t="n">
        <v>5069</v>
      </c>
      <c r="G159" s="5" t="n">
        <v>4411</v>
      </c>
      <c r="H159" s="5" t="n">
        <v>122</v>
      </c>
      <c r="I159" s="5" t="n">
        <v>480</v>
      </c>
      <c r="J159" s="5" t="n">
        <v>95</v>
      </c>
      <c r="K159" s="4" t="n">
        <v>12</v>
      </c>
      <c r="L159" s="5" t="n">
        <v>4572</v>
      </c>
      <c r="M159" s="5" t="n">
        <v>1266</v>
      </c>
      <c r="N159" s="4" t="n">
        <v>48</v>
      </c>
      <c r="O159" s="6" t="n">
        <v>1.33</v>
      </c>
      <c r="P159" s="4" t="s">
        <v>50</v>
      </c>
      <c r="Q159" s="4" t="s">
        <v>22</v>
      </c>
    </row>
    <row r="160" customFormat="false" ht="15" hidden="false" customHeight="false" outlineLevel="0" collapsed="false">
      <c r="A160" s="3" t="n">
        <v>46243</v>
      </c>
      <c r="B160" s="4" t="s">
        <v>200</v>
      </c>
      <c r="C160" s="4" t="s">
        <v>29</v>
      </c>
      <c r="D160" s="4" t="s">
        <v>30</v>
      </c>
      <c r="E160" s="4" t="s">
        <v>42</v>
      </c>
      <c r="F160" s="5" t="n">
        <v>10560</v>
      </c>
      <c r="G160" s="5" t="n">
        <v>11060</v>
      </c>
      <c r="H160" s="5" t="n">
        <v>165</v>
      </c>
      <c r="I160" s="5" t="n">
        <v>480</v>
      </c>
      <c r="J160" s="5" t="n">
        <v>0</v>
      </c>
      <c r="K160" s="4" t="n">
        <v>25</v>
      </c>
      <c r="L160" s="5" t="n">
        <v>11375</v>
      </c>
      <c r="M160" s="5" t="n">
        <v>1261</v>
      </c>
      <c r="N160" s="4" t="n">
        <v>48</v>
      </c>
      <c r="O160" s="6" t="n">
        <v>0.42</v>
      </c>
      <c r="P160" s="4" t="s">
        <v>32</v>
      </c>
      <c r="Q160" s="4" t="s">
        <v>22</v>
      </c>
    </row>
    <row r="161" customFormat="false" ht="15" hidden="false" customHeight="false" outlineLevel="0" collapsed="false">
      <c r="A161" s="3" t="n">
        <v>46243</v>
      </c>
      <c r="B161" s="4" t="s">
        <v>201</v>
      </c>
      <c r="C161" s="4" t="s">
        <v>18</v>
      </c>
      <c r="D161" s="4" t="s">
        <v>34</v>
      </c>
      <c r="E161" s="4" t="s">
        <v>44</v>
      </c>
      <c r="F161" s="5" t="n">
        <v>3379</v>
      </c>
      <c r="G161" s="5" t="n">
        <v>3493</v>
      </c>
      <c r="H161" s="5" t="n">
        <v>87</v>
      </c>
      <c r="I161" s="5" t="n">
        <v>480</v>
      </c>
      <c r="J161" s="5" t="n">
        <v>18</v>
      </c>
      <c r="K161" s="4" t="n">
        <v>8</v>
      </c>
      <c r="L161" s="5" t="n">
        <v>3647</v>
      </c>
      <c r="M161" s="5" t="n">
        <v>2334</v>
      </c>
      <c r="N161" s="4" t="n">
        <v>48</v>
      </c>
      <c r="O161" s="6" t="n">
        <v>2.43</v>
      </c>
      <c r="P161" s="4" t="s">
        <v>38</v>
      </c>
      <c r="Q161" s="4" t="s">
        <v>22</v>
      </c>
    </row>
    <row r="162" customFormat="false" ht="15" hidden="false" customHeight="false" outlineLevel="0" collapsed="false">
      <c r="A162" s="3" t="n">
        <v>46244</v>
      </c>
      <c r="B162" s="4" t="s">
        <v>202</v>
      </c>
      <c r="C162" s="4" t="s">
        <v>24</v>
      </c>
      <c r="D162" s="4" t="s">
        <v>19</v>
      </c>
      <c r="E162" s="4" t="s">
        <v>20</v>
      </c>
      <c r="F162" s="5" t="n">
        <v>3802</v>
      </c>
      <c r="G162" s="5" t="n">
        <v>3030</v>
      </c>
      <c r="H162" s="5" t="n">
        <v>53</v>
      </c>
      <c r="I162" s="5" t="n">
        <v>480</v>
      </c>
      <c r="J162" s="5" t="n">
        <v>108</v>
      </c>
      <c r="K162" s="4" t="n">
        <v>9</v>
      </c>
      <c r="L162" s="5" t="n">
        <v>3108</v>
      </c>
      <c r="M162" s="5" t="n">
        <v>1242</v>
      </c>
      <c r="N162" s="4" t="n">
        <v>48</v>
      </c>
      <c r="O162" s="6" t="n">
        <v>1.08</v>
      </c>
      <c r="P162" s="4" t="s">
        <v>21</v>
      </c>
      <c r="Q162" s="4" t="s">
        <v>22</v>
      </c>
    </row>
    <row r="163" customFormat="false" ht="15" hidden="false" customHeight="false" outlineLevel="0" collapsed="false">
      <c r="A163" s="3" t="n">
        <v>46244</v>
      </c>
      <c r="B163" s="4" t="s">
        <v>203</v>
      </c>
      <c r="C163" s="4" t="s">
        <v>29</v>
      </c>
      <c r="D163" s="4" t="s">
        <v>25</v>
      </c>
      <c r="E163" s="4" t="s">
        <v>26</v>
      </c>
      <c r="F163" s="5" t="n">
        <v>1690</v>
      </c>
      <c r="G163" s="5" t="n">
        <v>1685</v>
      </c>
      <c r="H163" s="5" t="n">
        <v>31</v>
      </c>
      <c r="I163" s="5" t="n">
        <v>480</v>
      </c>
      <c r="J163" s="5" t="n">
        <v>0</v>
      </c>
      <c r="K163" s="4" t="n">
        <v>4</v>
      </c>
      <c r="L163" s="5" t="n">
        <v>1766</v>
      </c>
      <c r="M163" s="5" t="n">
        <v>990</v>
      </c>
      <c r="N163" s="4" t="n">
        <v>48</v>
      </c>
      <c r="O163" s="6" t="n">
        <v>4.78</v>
      </c>
      <c r="P163" s="4" t="s">
        <v>32</v>
      </c>
      <c r="Q163" s="4" t="s">
        <v>22</v>
      </c>
    </row>
    <row r="164" customFormat="false" ht="15" hidden="false" customHeight="false" outlineLevel="0" collapsed="false">
      <c r="A164" s="3" t="n">
        <v>46244</v>
      </c>
      <c r="B164" s="4" t="s">
        <v>204</v>
      </c>
      <c r="C164" s="4" t="s">
        <v>18</v>
      </c>
      <c r="D164" s="4" t="s">
        <v>30</v>
      </c>
      <c r="E164" s="4" t="s">
        <v>31</v>
      </c>
      <c r="F164" s="5" t="n">
        <v>8448</v>
      </c>
      <c r="G164" s="5" t="n">
        <v>8459</v>
      </c>
      <c r="H164" s="5" t="n">
        <v>90</v>
      </c>
      <c r="I164" s="5" t="n">
        <v>480</v>
      </c>
      <c r="J164" s="5" t="n">
        <v>25</v>
      </c>
      <c r="K164" s="4" t="n">
        <v>20</v>
      </c>
      <c r="L164" s="5" t="n">
        <v>8820</v>
      </c>
      <c r="M164" s="5" t="n">
        <v>1256</v>
      </c>
      <c r="N164" s="4" t="n">
        <v>48</v>
      </c>
      <c r="O164" s="6" t="n">
        <v>0.75</v>
      </c>
      <c r="P164" s="4" t="s">
        <v>38</v>
      </c>
      <c r="Q164" s="4" t="s">
        <v>22</v>
      </c>
    </row>
    <row r="165" customFormat="false" ht="15" hidden="false" customHeight="false" outlineLevel="0" collapsed="false">
      <c r="A165" s="3" t="n">
        <v>46244</v>
      </c>
      <c r="B165" s="4" t="s">
        <v>205</v>
      </c>
      <c r="C165" s="4" t="s">
        <v>24</v>
      </c>
      <c r="D165" s="4" t="s">
        <v>34</v>
      </c>
      <c r="E165" s="4" t="s">
        <v>35</v>
      </c>
      <c r="F165" s="5" t="n">
        <v>2112</v>
      </c>
      <c r="G165" s="5" t="n">
        <v>1903</v>
      </c>
      <c r="H165" s="5" t="n">
        <v>68</v>
      </c>
      <c r="I165" s="5" t="n">
        <v>480</v>
      </c>
      <c r="J165" s="5" t="n">
        <v>72</v>
      </c>
      <c r="K165" s="4" t="n">
        <v>5</v>
      </c>
      <c r="L165" s="5" t="n">
        <v>1956</v>
      </c>
      <c r="M165" s="5" t="n">
        <v>1002</v>
      </c>
      <c r="N165" s="4" t="n">
        <v>48</v>
      </c>
      <c r="O165" s="6" t="n">
        <v>3.05</v>
      </c>
      <c r="P165" s="4" t="s">
        <v>27</v>
      </c>
      <c r="Q165" s="4" t="s">
        <v>22</v>
      </c>
    </row>
    <row r="166" customFormat="false" ht="15" hidden="false" customHeight="false" outlineLevel="0" collapsed="false">
      <c r="A166" s="3" t="n">
        <v>46245</v>
      </c>
      <c r="B166" s="4" t="s">
        <v>206</v>
      </c>
      <c r="C166" s="4" t="s">
        <v>29</v>
      </c>
      <c r="D166" s="4" t="s">
        <v>19</v>
      </c>
      <c r="E166" s="4" t="s">
        <v>37</v>
      </c>
      <c r="F166" s="5" t="n">
        <v>2534</v>
      </c>
      <c r="G166" s="5" t="n">
        <v>2119</v>
      </c>
      <c r="H166" s="5" t="n">
        <v>101</v>
      </c>
      <c r="I166" s="5" t="n">
        <v>480</v>
      </c>
      <c r="J166" s="5" t="n">
        <v>65</v>
      </c>
      <c r="K166" s="4" t="n">
        <v>6</v>
      </c>
      <c r="L166" s="5" t="n">
        <v>2204</v>
      </c>
      <c r="M166" s="5" t="n">
        <v>1148</v>
      </c>
      <c r="N166" s="4" t="n">
        <v>48</v>
      </c>
      <c r="O166" s="6" t="n">
        <v>2.16</v>
      </c>
      <c r="P166" s="4" t="s">
        <v>50</v>
      </c>
      <c r="Q166" s="4" t="s">
        <v>22</v>
      </c>
    </row>
    <row r="167" customFormat="false" ht="15" hidden="false" customHeight="false" outlineLevel="0" collapsed="false">
      <c r="A167" s="3" t="n">
        <v>46245</v>
      </c>
      <c r="B167" s="4" t="s">
        <v>207</v>
      </c>
      <c r="C167" s="4" t="s">
        <v>18</v>
      </c>
      <c r="D167" s="4" t="s">
        <v>25</v>
      </c>
      <c r="E167" s="4" t="s">
        <v>40</v>
      </c>
      <c r="F167" s="5" t="n">
        <v>5069</v>
      </c>
      <c r="G167" s="5" t="n">
        <v>4668</v>
      </c>
      <c r="H167" s="5" t="n">
        <v>87</v>
      </c>
      <c r="I167" s="5" t="n">
        <v>480</v>
      </c>
      <c r="J167" s="5" t="n">
        <v>40</v>
      </c>
      <c r="K167" s="4" t="n">
        <v>12</v>
      </c>
      <c r="L167" s="5" t="n">
        <v>4862</v>
      </c>
      <c r="M167" s="5" t="n">
        <v>1284</v>
      </c>
      <c r="N167" s="4" t="n">
        <v>48</v>
      </c>
      <c r="O167" s="6" t="n">
        <v>1.38</v>
      </c>
      <c r="P167" s="4" t="s">
        <v>27</v>
      </c>
      <c r="Q167" s="4" t="s">
        <v>22</v>
      </c>
    </row>
    <row r="168" customFormat="false" ht="15" hidden="false" customHeight="false" outlineLevel="0" collapsed="false">
      <c r="A168" s="3" t="n">
        <v>46245</v>
      </c>
      <c r="B168" s="4" t="s">
        <v>208</v>
      </c>
      <c r="C168" s="4" t="s">
        <v>24</v>
      </c>
      <c r="D168" s="4" t="s">
        <v>30</v>
      </c>
      <c r="E168" s="4" t="s">
        <v>42</v>
      </c>
      <c r="F168" s="5" t="n">
        <v>10560</v>
      </c>
      <c r="G168" s="5" t="n">
        <v>10138</v>
      </c>
      <c r="H168" s="5" t="n">
        <v>92</v>
      </c>
      <c r="I168" s="5" t="n">
        <v>480</v>
      </c>
      <c r="J168" s="5" t="n">
        <v>37</v>
      </c>
      <c r="K168" s="4" t="n">
        <v>25</v>
      </c>
      <c r="L168" s="5" t="n">
        <v>10511</v>
      </c>
      <c r="M168" s="5" t="n">
        <v>1250</v>
      </c>
      <c r="N168" s="4" t="n">
        <v>48</v>
      </c>
      <c r="O168" s="6" t="n">
        <v>0.42</v>
      </c>
      <c r="P168" s="4" t="s">
        <v>65</v>
      </c>
      <c r="Q168" s="4" t="s">
        <v>22</v>
      </c>
    </row>
    <row r="169" customFormat="false" ht="15" hidden="false" customHeight="false" outlineLevel="0" collapsed="false">
      <c r="A169" s="3" t="n">
        <v>46245</v>
      </c>
      <c r="B169" s="4" t="s">
        <v>209</v>
      </c>
      <c r="C169" s="4" t="s">
        <v>29</v>
      </c>
      <c r="D169" s="4" t="s">
        <v>34</v>
      </c>
      <c r="E169" s="4" t="s">
        <v>44</v>
      </c>
      <c r="F169" s="5" t="n">
        <v>3379</v>
      </c>
      <c r="G169" s="5" t="n">
        <v>3039</v>
      </c>
      <c r="H169" s="5" t="n">
        <v>121</v>
      </c>
      <c r="I169" s="5" t="n">
        <v>480</v>
      </c>
      <c r="J169" s="5" t="n">
        <v>64</v>
      </c>
      <c r="K169" s="4" t="n">
        <v>8</v>
      </c>
      <c r="L169" s="5" t="n">
        <v>3174</v>
      </c>
      <c r="M169" s="5" t="n">
        <v>2227</v>
      </c>
      <c r="N169" s="4" t="n">
        <v>48</v>
      </c>
      <c r="O169" s="6" t="n">
        <v>2.35</v>
      </c>
      <c r="P169" s="4" t="s">
        <v>50</v>
      </c>
      <c r="Q169" s="4" t="s">
        <v>22</v>
      </c>
    </row>
    <row r="170" customFormat="false" ht="15" hidden="false" customHeight="false" outlineLevel="0" collapsed="false">
      <c r="A170" s="3" t="n">
        <v>46246</v>
      </c>
      <c r="B170" s="4" t="s">
        <v>210</v>
      </c>
      <c r="C170" s="4" t="s">
        <v>18</v>
      </c>
      <c r="D170" s="4" t="s">
        <v>19</v>
      </c>
      <c r="E170" s="4" t="s">
        <v>20</v>
      </c>
      <c r="F170" s="5" t="n">
        <v>3802</v>
      </c>
      <c r="G170" s="5" t="n">
        <v>3478</v>
      </c>
      <c r="H170" s="5" t="n">
        <v>68</v>
      </c>
      <c r="I170" s="5" t="n">
        <v>480</v>
      </c>
      <c r="J170" s="5" t="n">
        <v>68</v>
      </c>
      <c r="K170" s="4" t="n">
        <v>9</v>
      </c>
      <c r="L170" s="5" t="n">
        <v>3625</v>
      </c>
      <c r="M170" s="5" t="n">
        <v>1606</v>
      </c>
      <c r="N170" s="4" t="n">
        <v>48</v>
      </c>
      <c r="O170" s="6" t="n">
        <v>1.1</v>
      </c>
      <c r="P170" s="4" t="s">
        <v>21</v>
      </c>
      <c r="Q170" s="4" t="s">
        <v>22</v>
      </c>
    </row>
    <row r="171" customFormat="false" ht="15" hidden="false" customHeight="false" outlineLevel="0" collapsed="false">
      <c r="A171" s="3" t="n">
        <v>46246</v>
      </c>
      <c r="B171" s="4" t="s">
        <v>211</v>
      </c>
      <c r="C171" s="4" t="s">
        <v>24</v>
      </c>
      <c r="D171" s="4" t="s">
        <v>25</v>
      </c>
      <c r="E171" s="4" t="s">
        <v>26</v>
      </c>
      <c r="F171" s="5" t="n">
        <v>1690</v>
      </c>
      <c r="G171" s="5" t="n">
        <v>1739</v>
      </c>
      <c r="H171" s="5" t="n">
        <v>36</v>
      </c>
      <c r="I171" s="5" t="n">
        <v>480</v>
      </c>
      <c r="J171" s="5" t="n">
        <v>0</v>
      </c>
      <c r="K171" s="4" t="n">
        <v>4</v>
      </c>
      <c r="L171" s="5" t="n">
        <v>1784</v>
      </c>
      <c r="M171" s="5" t="n">
        <v>899</v>
      </c>
      <c r="N171" s="4" t="n">
        <v>48</v>
      </c>
      <c r="O171" s="6" t="n">
        <v>4.61</v>
      </c>
      <c r="P171" s="4" t="s">
        <v>32</v>
      </c>
      <c r="Q171" s="4" t="s">
        <v>22</v>
      </c>
    </row>
    <row r="172" customFormat="false" ht="15" hidden="false" customHeight="false" outlineLevel="0" collapsed="false">
      <c r="A172" s="3" t="n">
        <v>46246</v>
      </c>
      <c r="B172" s="4" t="s">
        <v>212</v>
      </c>
      <c r="C172" s="4" t="s">
        <v>29</v>
      </c>
      <c r="D172" s="4" t="s">
        <v>30</v>
      </c>
      <c r="E172" s="4" t="s">
        <v>31</v>
      </c>
      <c r="F172" s="5" t="n">
        <v>8448</v>
      </c>
      <c r="G172" s="5" t="n">
        <v>5555</v>
      </c>
      <c r="H172" s="5" t="n">
        <v>120</v>
      </c>
      <c r="I172" s="5" t="n">
        <v>480</v>
      </c>
      <c r="J172" s="5" t="n">
        <v>159</v>
      </c>
      <c r="K172" s="4" t="n">
        <v>20</v>
      </c>
      <c r="L172" s="5" t="n">
        <v>5720</v>
      </c>
      <c r="M172" s="5" t="n">
        <v>809</v>
      </c>
      <c r="N172" s="4" t="n">
        <v>48</v>
      </c>
      <c r="O172" s="6" t="n">
        <v>0.79</v>
      </c>
      <c r="P172" s="4" t="s">
        <v>27</v>
      </c>
      <c r="Q172" s="4" t="s">
        <v>22</v>
      </c>
    </row>
    <row r="173" customFormat="false" ht="15" hidden="false" customHeight="false" outlineLevel="0" collapsed="false">
      <c r="A173" s="3" t="n">
        <v>46246</v>
      </c>
      <c r="B173" s="4" t="s">
        <v>213</v>
      </c>
      <c r="C173" s="4" t="s">
        <v>18</v>
      </c>
      <c r="D173" s="4" t="s">
        <v>34</v>
      </c>
      <c r="E173" s="4" t="s">
        <v>35</v>
      </c>
      <c r="F173" s="5" t="n">
        <v>2112</v>
      </c>
      <c r="G173" s="5" t="n">
        <v>2187</v>
      </c>
      <c r="H173" s="5" t="n">
        <v>91</v>
      </c>
      <c r="I173" s="5" t="n">
        <v>480</v>
      </c>
      <c r="J173" s="5" t="n">
        <v>19</v>
      </c>
      <c r="K173" s="4" t="n">
        <v>5</v>
      </c>
      <c r="L173" s="5" t="n">
        <v>2291</v>
      </c>
      <c r="M173" s="5" t="n">
        <v>1176</v>
      </c>
      <c r="N173" s="4" t="n">
        <v>48</v>
      </c>
      <c r="O173" s="6" t="n">
        <v>3.18</v>
      </c>
      <c r="P173" s="4" t="s">
        <v>50</v>
      </c>
      <c r="Q173" s="4" t="s">
        <v>22</v>
      </c>
    </row>
    <row r="174" customFormat="false" ht="15" hidden="false" customHeight="false" outlineLevel="0" collapsed="false">
      <c r="A174" s="3" t="n">
        <v>46247</v>
      </c>
      <c r="B174" s="4" t="s">
        <v>214</v>
      </c>
      <c r="C174" s="4" t="s">
        <v>24</v>
      </c>
      <c r="D174" s="4" t="s">
        <v>19</v>
      </c>
      <c r="E174" s="4" t="s">
        <v>37</v>
      </c>
      <c r="F174" s="5" t="n">
        <v>2534</v>
      </c>
      <c r="G174" s="5" t="n">
        <v>2160</v>
      </c>
      <c r="H174" s="5" t="n">
        <v>77</v>
      </c>
      <c r="I174" s="5" t="n">
        <v>480</v>
      </c>
      <c r="J174" s="5" t="n">
        <v>97</v>
      </c>
      <c r="K174" s="4" t="n">
        <v>6</v>
      </c>
      <c r="L174" s="5" t="n">
        <v>2218</v>
      </c>
      <c r="M174" s="5" t="n">
        <v>1323</v>
      </c>
      <c r="N174" s="4" t="n">
        <v>48</v>
      </c>
      <c r="O174" s="6" t="n">
        <v>2.2</v>
      </c>
      <c r="P174" s="4" t="s">
        <v>27</v>
      </c>
      <c r="Q174" s="4" t="s">
        <v>22</v>
      </c>
    </row>
    <row r="175" customFormat="false" ht="15" hidden="false" customHeight="false" outlineLevel="0" collapsed="false">
      <c r="A175" s="3" t="n">
        <v>46247</v>
      </c>
      <c r="B175" s="4" t="s">
        <v>215</v>
      </c>
      <c r="C175" s="4" t="s">
        <v>29</v>
      </c>
      <c r="D175" s="4" t="s">
        <v>25</v>
      </c>
      <c r="E175" s="4" t="s">
        <v>40</v>
      </c>
      <c r="F175" s="5" t="n">
        <v>5069</v>
      </c>
      <c r="G175" s="5" t="n">
        <v>4827</v>
      </c>
      <c r="H175" s="5" t="n">
        <v>125</v>
      </c>
      <c r="I175" s="5" t="n">
        <v>480</v>
      </c>
      <c r="J175" s="5" t="n">
        <v>18</v>
      </c>
      <c r="K175" s="4" t="n">
        <v>12</v>
      </c>
      <c r="L175" s="5" t="n">
        <v>4999</v>
      </c>
      <c r="M175" s="5" t="n">
        <v>1503</v>
      </c>
      <c r="N175" s="4" t="n">
        <v>48</v>
      </c>
      <c r="O175" s="6" t="n">
        <v>1.33</v>
      </c>
      <c r="P175" s="4" t="s">
        <v>27</v>
      </c>
      <c r="Q175" s="4" t="s">
        <v>22</v>
      </c>
    </row>
    <row r="176" customFormat="false" ht="15" hidden="false" customHeight="false" outlineLevel="0" collapsed="false">
      <c r="A176" s="3" t="n">
        <v>46247</v>
      </c>
      <c r="B176" s="4" t="s">
        <v>216</v>
      </c>
      <c r="C176" s="4" t="s">
        <v>18</v>
      </c>
      <c r="D176" s="4" t="s">
        <v>30</v>
      </c>
      <c r="E176" s="4" t="s">
        <v>42</v>
      </c>
      <c r="F176" s="5" t="n">
        <v>10560</v>
      </c>
      <c r="G176" s="5" t="n">
        <v>10743</v>
      </c>
      <c r="H176" s="5" t="n">
        <v>150</v>
      </c>
      <c r="I176" s="5" t="n">
        <v>480</v>
      </c>
      <c r="J176" s="5" t="n">
        <v>0</v>
      </c>
      <c r="K176" s="4" t="n">
        <v>25</v>
      </c>
      <c r="L176" s="5" t="n">
        <v>11085</v>
      </c>
      <c r="M176" s="5" t="n">
        <v>1413</v>
      </c>
      <c r="N176" s="4" t="n">
        <v>48</v>
      </c>
      <c r="O176" s="6" t="n">
        <v>0.42</v>
      </c>
      <c r="P176" s="4" t="s">
        <v>32</v>
      </c>
      <c r="Q176" s="4" t="s">
        <v>22</v>
      </c>
    </row>
    <row r="177" customFormat="false" ht="15" hidden="false" customHeight="false" outlineLevel="0" collapsed="false">
      <c r="A177" s="3" t="n">
        <v>46247</v>
      </c>
      <c r="B177" s="4" t="s">
        <v>217</v>
      </c>
      <c r="C177" s="4" t="s">
        <v>24</v>
      </c>
      <c r="D177" s="4" t="s">
        <v>34</v>
      </c>
      <c r="E177" s="4" t="s">
        <v>44</v>
      </c>
      <c r="F177" s="5" t="n">
        <v>3379</v>
      </c>
      <c r="G177" s="5" t="n">
        <v>3348</v>
      </c>
      <c r="H177" s="5" t="n">
        <v>137</v>
      </c>
      <c r="I177" s="5" t="n">
        <v>480</v>
      </c>
      <c r="J177" s="5" t="n">
        <v>29</v>
      </c>
      <c r="K177" s="4" t="n">
        <v>8</v>
      </c>
      <c r="L177" s="5" t="n">
        <v>3444</v>
      </c>
      <c r="M177" s="5" t="n">
        <v>2394</v>
      </c>
      <c r="N177" s="4" t="n">
        <v>48</v>
      </c>
      <c r="O177" s="6" t="n">
        <v>2.41</v>
      </c>
      <c r="P177" s="4" t="s">
        <v>38</v>
      </c>
      <c r="Q177" s="4" t="s">
        <v>22</v>
      </c>
    </row>
    <row r="178" customFormat="false" ht="15" hidden="false" customHeight="false" outlineLevel="0" collapsed="false">
      <c r="A178" s="3" t="n">
        <v>46248</v>
      </c>
      <c r="B178" s="4" t="s">
        <v>218</v>
      </c>
      <c r="C178" s="4" t="s">
        <v>29</v>
      </c>
      <c r="D178" s="4" t="s">
        <v>19</v>
      </c>
      <c r="E178" s="4" t="s">
        <v>20</v>
      </c>
      <c r="F178" s="5" t="n">
        <v>3802</v>
      </c>
      <c r="G178" s="5" t="n">
        <v>3296</v>
      </c>
      <c r="H178" s="5" t="n">
        <v>83</v>
      </c>
      <c r="I178" s="5" t="n">
        <v>480</v>
      </c>
      <c r="J178" s="5" t="n">
        <v>63</v>
      </c>
      <c r="K178" s="4" t="n">
        <v>9</v>
      </c>
      <c r="L178" s="5" t="n">
        <v>3428</v>
      </c>
      <c r="M178" s="5" t="n">
        <v>1536</v>
      </c>
      <c r="N178" s="4" t="n">
        <v>48</v>
      </c>
      <c r="O178" s="6" t="n">
        <v>1.11</v>
      </c>
      <c r="P178" s="4" t="s">
        <v>50</v>
      </c>
      <c r="Q178" s="4" t="s">
        <v>22</v>
      </c>
    </row>
    <row r="179" customFormat="false" ht="15" hidden="false" customHeight="false" outlineLevel="0" collapsed="false">
      <c r="A179" s="3" t="n">
        <v>46248</v>
      </c>
      <c r="B179" s="4" t="s">
        <v>219</v>
      </c>
      <c r="C179" s="4" t="s">
        <v>18</v>
      </c>
      <c r="D179" s="4" t="s">
        <v>25</v>
      </c>
      <c r="E179" s="4" t="s">
        <v>26</v>
      </c>
      <c r="F179" s="5" t="n">
        <v>1690</v>
      </c>
      <c r="G179" s="5" t="n">
        <v>1761</v>
      </c>
      <c r="H179" s="5" t="n">
        <v>45</v>
      </c>
      <c r="I179" s="5" t="n">
        <v>480</v>
      </c>
      <c r="J179" s="5" t="n">
        <v>0</v>
      </c>
      <c r="K179" s="4" t="n">
        <v>4</v>
      </c>
      <c r="L179" s="5" t="n">
        <v>1823</v>
      </c>
      <c r="M179" s="5" t="n">
        <v>998</v>
      </c>
      <c r="N179" s="4" t="n">
        <v>48</v>
      </c>
      <c r="O179" s="6" t="n">
        <v>4.67</v>
      </c>
      <c r="P179" s="4" t="s">
        <v>32</v>
      </c>
      <c r="Q179" s="4" t="s">
        <v>22</v>
      </c>
    </row>
    <row r="180" customFormat="false" ht="15" hidden="false" customHeight="false" outlineLevel="0" collapsed="false">
      <c r="A180" s="3" t="n">
        <v>46248</v>
      </c>
      <c r="B180" s="4" t="s">
        <v>220</v>
      </c>
      <c r="C180" s="4" t="s">
        <v>24</v>
      </c>
      <c r="D180" s="4" t="s">
        <v>30</v>
      </c>
      <c r="E180" s="4" t="s">
        <v>31</v>
      </c>
      <c r="F180" s="5" t="n">
        <v>8448</v>
      </c>
      <c r="G180" s="5" t="n">
        <v>8117</v>
      </c>
      <c r="H180" s="5" t="n">
        <v>99</v>
      </c>
      <c r="I180" s="5" t="n">
        <v>480</v>
      </c>
      <c r="J180" s="5" t="n">
        <v>37</v>
      </c>
      <c r="K180" s="4" t="n">
        <v>20</v>
      </c>
      <c r="L180" s="5" t="n">
        <v>8373</v>
      </c>
      <c r="M180" s="5" t="n">
        <v>1204</v>
      </c>
      <c r="N180" s="4" t="n">
        <v>48</v>
      </c>
      <c r="O180" s="6" t="n">
        <v>0.8</v>
      </c>
      <c r="P180" s="4" t="s">
        <v>50</v>
      </c>
      <c r="Q180" s="4" t="s">
        <v>22</v>
      </c>
    </row>
    <row r="181" customFormat="false" ht="15" hidden="false" customHeight="false" outlineLevel="0" collapsed="false">
      <c r="A181" s="3" t="n">
        <v>46248</v>
      </c>
      <c r="B181" s="4" t="s">
        <v>221</v>
      </c>
      <c r="C181" s="4" t="s">
        <v>29</v>
      </c>
      <c r="D181" s="4" t="s">
        <v>34</v>
      </c>
      <c r="E181" s="4" t="s">
        <v>35</v>
      </c>
      <c r="F181" s="5" t="n">
        <v>2112</v>
      </c>
      <c r="G181" s="5" t="n">
        <v>2134</v>
      </c>
      <c r="H181" s="5" t="n">
        <v>63</v>
      </c>
      <c r="I181" s="5" t="n">
        <v>480</v>
      </c>
      <c r="J181" s="5" t="n">
        <v>0</v>
      </c>
      <c r="K181" s="4" t="n">
        <v>5</v>
      </c>
      <c r="L181" s="5" t="n">
        <v>2233</v>
      </c>
      <c r="M181" s="5" t="n">
        <v>1162</v>
      </c>
      <c r="N181" s="4" t="n">
        <v>48</v>
      </c>
      <c r="O181" s="6" t="n">
        <v>3.16</v>
      </c>
      <c r="P181" s="4" t="s">
        <v>32</v>
      </c>
      <c r="Q181" s="4" t="s">
        <v>22</v>
      </c>
    </row>
    <row r="182" customFormat="false" ht="15" hidden="false" customHeight="false" outlineLevel="0" collapsed="false">
      <c r="A182" s="3" t="n">
        <v>46249</v>
      </c>
      <c r="B182" s="4" t="s">
        <v>222</v>
      </c>
      <c r="C182" s="4" t="s">
        <v>18</v>
      </c>
      <c r="D182" s="4" t="s">
        <v>19</v>
      </c>
      <c r="E182" s="4" t="s">
        <v>37</v>
      </c>
      <c r="F182" s="5" t="n">
        <v>2534</v>
      </c>
      <c r="G182" s="5" t="n">
        <v>2296</v>
      </c>
      <c r="H182" s="5" t="n">
        <v>60</v>
      </c>
      <c r="I182" s="5" t="n">
        <v>480</v>
      </c>
      <c r="J182" s="5" t="n">
        <v>51</v>
      </c>
      <c r="K182" s="4" t="n">
        <v>6</v>
      </c>
      <c r="L182" s="5" t="n">
        <v>2357</v>
      </c>
      <c r="M182" s="5" t="n">
        <v>1389</v>
      </c>
      <c r="N182" s="4" t="n">
        <v>48</v>
      </c>
      <c r="O182" s="6" t="n">
        <v>2.21</v>
      </c>
      <c r="P182" s="4" t="s">
        <v>38</v>
      </c>
      <c r="Q182" s="4" t="s">
        <v>22</v>
      </c>
    </row>
    <row r="183" customFormat="false" ht="15" hidden="false" customHeight="false" outlineLevel="0" collapsed="false">
      <c r="A183" s="3" t="n">
        <v>46249</v>
      </c>
      <c r="B183" s="4" t="s">
        <v>223</v>
      </c>
      <c r="C183" s="4" t="s">
        <v>24</v>
      </c>
      <c r="D183" s="4" t="s">
        <v>25</v>
      </c>
      <c r="E183" s="4" t="s">
        <v>40</v>
      </c>
      <c r="F183" s="5" t="n">
        <v>5069</v>
      </c>
      <c r="G183" s="5" t="n">
        <v>3923</v>
      </c>
      <c r="H183" s="5" t="n">
        <v>79</v>
      </c>
      <c r="I183" s="5" t="n">
        <v>480</v>
      </c>
      <c r="J183" s="5" t="n">
        <v>132</v>
      </c>
      <c r="K183" s="4" t="n">
        <v>12</v>
      </c>
      <c r="L183" s="5" t="n">
        <v>4033</v>
      </c>
      <c r="M183" s="5" t="n">
        <v>1107</v>
      </c>
      <c r="N183" s="4" t="n">
        <v>48</v>
      </c>
      <c r="O183" s="6" t="n">
        <v>1.31</v>
      </c>
      <c r="P183" s="4" t="s">
        <v>27</v>
      </c>
      <c r="Q183" s="4" t="s">
        <v>22</v>
      </c>
    </row>
    <row r="184" customFormat="false" ht="15" hidden="false" customHeight="false" outlineLevel="0" collapsed="false">
      <c r="A184" s="3" t="n">
        <v>46249</v>
      </c>
      <c r="B184" s="4" t="s">
        <v>224</v>
      </c>
      <c r="C184" s="4" t="s">
        <v>29</v>
      </c>
      <c r="D184" s="4" t="s">
        <v>30</v>
      </c>
      <c r="E184" s="4" t="s">
        <v>42</v>
      </c>
      <c r="F184" s="5" t="n">
        <v>10560</v>
      </c>
      <c r="G184" s="5" t="n">
        <v>10124</v>
      </c>
      <c r="H184" s="5" t="n">
        <v>127</v>
      </c>
      <c r="I184" s="5" t="n">
        <v>480</v>
      </c>
      <c r="J184" s="5" t="n">
        <v>40</v>
      </c>
      <c r="K184" s="4" t="n">
        <v>25</v>
      </c>
      <c r="L184" s="5" t="n">
        <v>10532</v>
      </c>
      <c r="M184" s="5" t="n">
        <v>1114</v>
      </c>
      <c r="N184" s="4" t="n">
        <v>48</v>
      </c>
      <c r="O184" s="6" t="n">
        <v>0.41</v>
      </c>
      <c r="P184" s="4" t="s">
        <v>50</v>
      </c>
      <c r="Q184" s="4" t="s">
        <v>22</v>
      </c>
    </row>
    <row r="185" customFormat="false" ht="15" hidden="false" customHeight="false" outlineLevel="0" collapsed="false">
      <c r="A185" s="3" t="n">
        <v>46249</v>
      </c>
      <c r="B185" s="4" t="s">
        <v>225</v>
      </c>
      <c r="C185" s="4" t="s">
        <v>18</v>
      </c>
      <c r="D185" s="4" t="s">
        <v>34</v>
      </c>
      <c r="E185" s="4" t="s">
        <v>44</v>
      </c>
      <c r="F185" s="5" t="n">
        <v>3379</v>
      </c>
      <c r="G185" s="5" t="n">
        <v>3332</v>
      </c>
      <c r="H185" s="5" t="n">
        <v>66</v>
      </c>
      <c r="I185" s="5" t="n">
        <v>480</v>
      </c>
      <c r="J185" s="5" t="n">
        <v>38</v>
      </c>
      <c r="K185" s="4" t="n">
        <v>8</v>
      </c>
      <c r="L185" s="5" t="n">
        <v>3496</v>
      </c>
      <c r="M185" s="5" t="n">
        <v>2399</v>
      </c>
      <c r="N185" s="4" t="n">
        <v>48</v>
      </c>
      <c r="O185" s="6" t="n">
        <v>2.36</v>
      </c>
      <c r="P185" s="4" t="s">
        <v>55</v>
      </c>
      <c r="Q185" s="4" t="s">
        <v>22</v>
      </c>
    </row>
    <row r="186" customFormat="false" ht="15" hidden="false" customHeight="false" outlineLevel="0" collapsed="false">
      <c r="A186" s="3" t="n">
        <v>46250</v>
      </c>
      <c r="B186" s="4" t="s">
        <v>226</v>
      </c>
      <c r="C186" s="4" t="s">
        <v>24</v>
      </c>
      <c r="D186" s="4" t="s">
        <v>19</v>
      </c>
      <c r="E186" s="4" t="s">
        <v>20</v>
      </c>
      <c r="F186" s="5" t="n">
        <v>3802</v>
      </c>
      <c r="G186" s="5" t="n">
        <v>3310</v>
      </c>
      <c r="H186" s="5" t="n">
        <v>49</v>
      </c>
      <c r="I186" s="5" t="n">
        <v>480</v>
      </c>
      <c r="J186" s="5" t="n">
        <v>82</v>
      </c>
      <c r="K186" s="4" t="n">
        <v>9</v>
      </c>
      <c r="L186" s="5" t="n">
        <v>3473</v>
      </c>
      <c r="M186" s="5" t="n">
        <v>1469</v>
      </c>
      <c r="N186" s="4" t="n">
        <v>48</v>
      </c>
      <c r="O186" s="6" t="n">
        <v>1.11</v>
      </c>
      <c r="P186" s="4" t="s">
        <v>55</v>
      </c>
      <c r="Q186" s="4" t="s">
        <v>22</v>
      </c>
    </row>
    <row r="187" customFormat="false" ht="15" hidden="false" customHeight="false" outlineLevel="0" collapsed="false">
      <c r="A187" s="3" t="n">
        <v>46250</v>
      </c>
      <c r="B187" s="4" t="s">
        <v>227</v>
      </c>
      <c r="C187" s="4" t="s">
        <v>29</v>
      </c>
      <c r="D187" s="4" t="s">
        <v>25</v>
      </c>
      <c r="E187" s="4" t="s">
        <v>26</v>
      </c>
      <c r="F187" s="5" t="n">
        <v>1690</v>
      </c>
      <c r="G187" s="5" t="n">
        <v>1598</v>
      </c>
      <c r="H187" s="5" t="n">
        <v>56</v>
      </c>
      <c r="I187" s="5" t="n">
        <v>480</v>
      </c>
      <c r="J187" s="5" t="n">
        <v>22</v>
      </c>
      <c r="K187" s="4" t="n">
        <v>4</v>
      </c>
      <c r="L187" s="5" t="n">
        <v>1652</v>
      </c>
      <c r="M187" s="5" t="n">
        <v>956</v>
      </c>
      <c r="N187" s="4" t="n">
        <v>48</v>
      </c>
      <c r="O187" s="6" t="n">
        <v>4.85</v>
      </c>
      <c r="P187" s="4" t="s">
        <v>21</v>
      </c>
      <c r="Q187" s="4" t="s">
        <v>22</v>
      </c>
    </row>
    <row r="188" customFormat="false" ht="15" hidden="false" customHeight="false" outlineLevel="0" collapsed="false">
      <c r="A188" s="3" t="n">
        <v>46250</v>
      </c>
      <c r="B188" s="4" t="s">
        <v>228</v>
      </c>
      <c r="C188" s="4" t="s">
        <v>18</v>
      </c>
      <c r="D188" s="4" t="s">
        <v>30</v>
      </c>
      <c r="E188" s="4" t="s">
        <v>31</v>
      </c>
      <c r="F188" s="5" t="n">
        <v>8448</v>
      </c>
      <c r="G188" s="5" t="n">
        <v>7556</v>
      </c>
      <c r="H188" s="5" t="n">
        <v>95</v>
      </c>
      <c r="I188" s="5" t="n">
        <v>480</v>
      </c>
      <c r="J188" s="5" t="n">
        <v>47</v>
      </c>
      <c r="K188" s="4" t="n">
        <v>20</v>
      </c>
      <c r="L188" s="5" t="n">
        <v>7846</v>
      </c>
      <c r="M188" s="5" t="n">
        <v>1134</v>
      </c>
      <c r="N188" s="4" t="n">
        <v>48</v>
      </c>
      <c r="O188" s="6" t="n">
        <v>0.76</v>
      </c>
      <c r="P188" s="4" t="s">
        <v>27</v>
      </c>
      <c r="Q188" s="4" t="s">
        <v>22</v>
      </c>
    </row>
    <row r="189" customFormat="false" ht="15" hidden="false" customHeight="false" outlineLevel="0" collapsed="false">
      <c r="A189" s="3" t="n">
        <v>46250</v>
      </c>
      <c r="B189" s="4" t="s">
        <v>229</v>
      </c>
      <c r="C189" s="4" t="s">
        <v>24</v>
      </c>
      <c r="D189" s="4" t="s">
        <v>34</v>
      </c>
      <c r="E189" s="4" t="s">
        <v>35</v>
      </c>
      <c r="F189" s="5" t="n">
        <v>2112</v>
      </c>
      <c r="G189" s="5" t="n">
        <v>1984</v>
      </c>
      <c r="H189" s="5" t="n">
        <v>88</v>
      </c>
      <c r="I189" s="5" t="n">
        <v>480</v>
      </c>
      <c r="J189" s="5" t="n">
        <v>49</v>
      </c>
      <c r="K189" s="4" t="n">
        <v>5</v>
      </c>
      <c r="L189" s="5" t="n">
        <v>2062</v>
      </c>
      <c r="M189" s="5" t="n">
        <v>1162</v>
      </c>
      <c r="N189" s="4" t="n">
        <v>48</v>
      </c>
      <c r="O189" s="6" t="n">
        <v>3</v>
      </c>
      <c r="P189" s="4" t="s">
        <v>55</v>
      </c>
      <c r="Q189" s="4" t="s">
        <v>22</v>
      </c>
    </row>
    <row r="190" customFormat="false" ht="15" hidden="false" customHeight="false" outlineLevel="0" collapsed="false">
      <c r="A190" s="3" t="n">
        <v>46251</v>
      </c>
      <c r="B190" s="4" t="s">
        <v>230</v>
      </c>
      <c r="C190" s="4" t="s">
        <v>29</v>
      </c>
      <c r="D190" s="4" t="s">
        <v>19</v>
      </c>
      <c r="E190" s="4" t="s">
        <v>37</v>
      </c>
      <c r="F190" s="5" t="n">
        <v>2534</v>
      </c>
      <c r="G190" s="5" t="n">
        <v>2409</v>
      </c>
      <c r="H190" s="5" t="n">
        <v>81</v>
      </c>
      <c r="I190" s="5" t="n">
        <v>480</v>
      </c>
      <c r="J190" s="5" t="n">
        <v>42</v>
      </c>
      <c r="K190" s="4" t="n">
        <v>6</v>
      </c>
      <c r="L190" s="5" t="n">
        <v>2508</v>
      </c>
      <c r="M190" s="5" t="n">
        <v>1445</v>
      </c>
      <c r="N190" s="4" t="n">
        <v>48</v>
      </c>
      <c r="O190" s="6" t="n">
        <v>2.18</v>
      </c>
      <c r="P190" s="4" t="s">
        <v>27</v>
      </c>
      <c r="Q190" s="4" t="s">
        <v>22</v>
      </c>
    </row>
    <row r="191" customFormat="false" ht="15" hidden="false" customHeight="false" outlineLevel="0" collapsed="false">
      <c r="A191" s="3" t="n">
        <v>46251</v>
      </c>
      <c r="B191" s="4" t="s">
        <v>231</v>
      </c>
      <c r="C191" s="4" t="s">
        <v>18</v>
      </c>
      <c r="D191" s="4" t="s">
        <v>25</v>
      </c>
      <c r="E191" s="4" t="s">
        <v>40</v>
      </c>
      <c r="F191" s="5" t="n">
        <v>5069</v>
      </c>
      <c r="G191" s="5" t="n">
        <v>5232</v>
      </c>
      <c r="H191" s="5" t="n">
        <v>130</v>
      </c>
      <c r="I191" s="5" t="n">
        <v>480</v>
      </c>
      <c r="J191" s="5" t="n">
        <v>0</v>
      </c>
      <c r="K191" s="4" t="n">
        <v>12</v>
      </c>
      <c r="L191" s="5" t="n">
        <v>5452</v>
      </c>
      <c r="M191" s="5" t="n">
        <v>1506</v>
      </c>
      <c r="N191" s="4" t="n">
        <v>48</v>
      </c>
      <c r="O191" s="6" t="n">
        <v>1.3</v>
      </c>
      <c r="P191" s="4" t="s">
        <v>32</v>
      </c>
      <c r="Q191" s="4" t="s">
        <v>22</v>
      </c>
    </row>
    <row r="192" customFormat="false" ht="15" hidden="false" customHeight="false" outlineLevel="0" collapsed="false">
      <c r="A192" s="3" t="n">
        <v>46251</v>
      </c>
      <c r="B192" s="4" t="s">
        <v>232</v>
      </c>
      <c r="C192" s="4" t="s">
        <v>24</v>
      </c>
      <c r="D192" s="4" t="s">
        <v>30</v>
      </c>
      <c r="E192" s="4" t="s">
        <v>42</v>
      </c>
      <c r="F192" s="5" t="n">
        <v>10560</v>
      </c>
      <c r="G192" s="5" t="n">
        <v>10219</v>
      </c>
      <c r="H192" s="5" t="n">
        <v>87</v>
      </c>
      <c r="I192" s="5" t="n">
        <v>480</v>
      </c>
      <c r="J192" s="5" t="n">
        <v>36</v>
      </c>
      <c r="K192" s="4" t="n">
        <v>25</v>
      </c>
      <c r="L192" s="5" t="n">
        <v>10658</v>
      </c>
      <c r="M192" s="5" t="n">
        <v>1284</v>
      </c>
      <c r="N192" s="4" t="n">
        <v>48</v>
      </c>
      <c r="O192" s="6" t="n">
        <v>0.42</v>
      </c>
      <c r="P192" s="4" t="s">
        <v>21</v>
      </c>
      <c r="Q192" s="4" t="s">
        <v>22</v>
      </c>
    </row>
    <row r="193" customFormat="false" ht="15" hidden="false" customHeight="false" outlineLevel="0" collapsed="false">
      <c r="A193" s="3" t="n">
        <v>46251</v>
      </c>
      <c r="B193" s="4" t="s">
        <v>233</v>
      </c>
      <c r="C193" s="4" t="s">
        <v>29</v>
      </c>
      <c r="D193" s="4" t="s">
        <v>34</v>
      </c>
      <c r="E193" s="4" t="s">
        <v>44</v>
      </c>
      <c r="F193" s="5" t="n">
        <v>3379</v>
      </c>
      <c r="G193" s="5" t="n">
        <v>3146</v>
      </c>
      <c r="H193" s="5" t="n">
        <v>110</v>
      </c>
      <c r="I193" s="5" t="n">
        <v>480</v>
      </c>
      <c r="J193" s="5" t="n">
        <v>29</v>
      </c>
      <c r="K193" s="4" t="n">
        <v>8</v>
      </c>
      <c r="L193" s="5" t="n">
        <v>3246</v>
      </c>
      <c r="M193" s="5" t="n">
        <v>2091</v>
      </c>
      <c r="N193" s="4" t="n">
        <v>48</v>
      </c>
      <c r="O193" s="6" t="n">
        <v>2.31</v>
      </c>
      <c r="P193" s="4" t="s">
        <v>27</v>
      </c>
      <c r="Q193" s="4" t="s">
        <v>22</v>
      </c>
    </row>
    <row r="194" customFormat="false" ht="15" hidden="false" customHeight="false" outlineLevel="0" collapsed="false">
      <c r="A194" s="3" t="n">
        <v>46252</v>
      </c>
      <c r="B194" s="4" t="s">
        <v>234</v>
      </c>
      <c r="C194" s="4" t="s">
        <v>18</v>
      </c>
      <c r="D194" s="4" t="s">
        <v>19</v>
      </c>
      <c r="E194" s="4" t="s">
        <v>20</v>
      </c>
      <c r="F194" s="5" t="n">
        <v>3802</v>
      </c>
      <c r="G194" s="5" t="n">
        <v>3706</v>
      </c>
      <c r="H194" s="5" t="n">
        <v>54</v>
      </c>
      <c r="I194" s="5" t="n">
        <v>480</v>
      </c>
      <c r="J194" s="5" t="n">
        <v>45</v>
      </c>
      <c r="K194" s="4" t="n">
        <v>9</v>
      </c>
      <c r="L194" s="5" t="n">
        <v>3829</v>
      </c>
      <c r="M194" s="5" t="n">
        <v>1694</v>
      </c>
      <c r="N194" s="4" t="n">
        <v>48</v>
      </c>
      <c r="O194" s="6" t="n">
        <v>1.07</v>
      </c>
      <c r="P194" s="4" t="s">
        <v>21</v>
      </c>
      <c r="Q194" s="4" t="s">
        <v>22</v>
      </c>
    </row>
    <row r="195" customFormat="false" ht="15" hidden="false" customHeight="false" outlineLevel="0" collapsed="false">
      <c r="A195" s="3" t="n">
        <v>46252</v>
      </c>
      <c r="B195" s="4" t="s">
        <v>235</v>
      </c>
      <c r="C195" s="4" t="s">
        <v>24</v>
      </c>
      <c r="D195" s="4" t="s">
        <v>25</v>
      </c>
      <c r="E195" s="4" t="s">
        <v>26</v>
      </c>
      <c r="F195" s="5" t="n">
        <v>1690</v>
      </c>
      <c r="G195" s="5" t="n">
        <v>1543</v>
      </c>
      <c r="H195" s="5" t="n">
        <v>24</v>
      </c>
      <c r="I195" s="5" t="n">
        <v>480</v>
      </c>
      <c r="J195" s="5" t="n">
        <v>47</v>
      </c>
      <c r="K195" s="4" t="n">
        <v>4</v>
      </c>
      <c r="L195" s="5" t="n">
        <v>1618</v>
      </c>
      <c r="M195" s="5" t="n">
        <v>850</v>
      </c>
      <c r="N195" s="4" t="n">
        <v>48</v>
      </c>
      <c r="O195" s="6" t="n">
        <v>4.87</v>
      </c>
      <c r="P195" s="4" t="s">
        <v>50</v>
      </c>
      <c r="Q195" s="4" t="s">
        <v>22</v>
      </c>
    </row>
    <row r="196" customFormat="false" ht="15" hidden="false" customHeight="false" outlineLevel="0" collapsed="false">
      <c r="A196" s="3" t="n">
        <v>46252</v>
      </c>
      <c r="B196" s="4" t="s">
        <v>236</v>
      </c>
      <c r="C196" s="4" t="s">
        <v>29</v>
      </c>
      <c r="D196" s="4" t="s">
        <v>30</v>
      </c>
      <c r="E196" s="4" t="s">
        <v>31</v>
      </c>
      <c r="F196" s="5" t="n">
        <v>8448</v>
      </c>
      <c r="G196" s="5" t="n">
        <v>8614</v>
      </c>
      <c r="H196" s="5" t="n">
        <v>174</v>
      </c>
      <c r="I196" s="5" t="n">
        <v>480</v>
      </c>
      <c r="J196" s="5" t="n">
        <v>16</v>
      </c>
      <c r="K196" s="4" t="n">
        <v>20</v>
      </c>
      <c r="L196" s="5" t="n">
        <v>8931</v>
      </c>
      <c r="M196" s="5" t="n">
        <v>1302</v>
      </c>
      <c r="N196" s="4" t="n">
        <v>48</v>
      </c>
      <c r="O196" s="6" t="n">
        <v>0.79</v>
      </c>
      <c r="P196" s="4" t="s">
        <v>50</v>
      </c>
      <c r="Q196" s="4" t="s">
        <v>22</v>
      </c>
    </row>
    <row r="197" customFormat="false" ht="15" hidden="false" customHeight="false" outlineLevel="0" collapsed="false">
      <c r="A197" s="3" t="n">
        <v>46252</v>
      </c>
      <c r="B197" s="4" t="s">
        <v>237</v>
      </c>
      <c r="C197" s="4" t="s">
        <v>18</v>
      </c>
      <c r="D197" s="4" t="s">
        <v>34</v>
      </c>
      <c r="E197" s="4" t="s">
        <v>35</v>
      </c>
      <c r="F197" s="5" t="n">
        <v>2112</v>
      </c>
      <c r="G197" s="5" t="n">
        <v>2239</v>
      </c>
      <c r="H197" s="5" t="n">
        <v>95</v>
      </c>
      <c r="I197" s="5" t="n">
        <v>480</v>
      </c>
      <c r="J197" s="5" t="n">
        <v>0</v>
      </c>
      <c r="K197" s="4" t="n">
        <v>5</v>
      </c>
      <c r="L197" s="5" t="n">
        <v>2315</v>
      </c>
      <c r="M197" s="5" t="n">
        <v>1207</v>
      </c>
      <c r="N197" s="4" t="n">
        <v>48</v>
      </c>
      <c r="O197" s="6" t="n">
        <v>3.1</v>
      </c>
      <c r="P197" s="4" t="s">
        <v>32</v>
      </c>
      <c r="Q197" s="4" t="s">
        <v>22</v>
      </c>
    </row>
    <row r="198" customFormat="false" ht="15" hidden="false" customHeight="false" outlineLevel="0" collapsed="false">
      <c r="A198" s="3" t="n">
        <v>46253</v>
      </c>
      <c r="B198" s="4" t="s">
        <v>238</v>
      </c>
      <c r="C198" s="4" t="s">
        <v>24</v>
      </c>
      <c r="D198" s="4" t="s">
        <v>19</v>
      </c>
      <c r="E198" s="4" t="s">
        <v>37</v>
      </c>
      <c r="F198" s="5" t="n">
        <v>2534</v>
      </c>
      <c r="G198" s="5" t="n">
        <v>2601</v>
      </c>
      <c r="H198" s="5" t="n">
        <v>64</v>
      </c>
      <c r="I198" s="5" t="n">
        <v>480</v>
      </c>
      <c r="J198" s="5" t="n">
        <v>17</v>
      </c>
      <c r="K198" s="4" t="n">
        <v>6</v>
      </c>
      <c r="L198" s="5" t="n">
        <v>2730</v>
      </c>
      <c r="M198" s="5" t="n">
        <v>1617</v>
      </c>
      <c r="N198" s="4" t="n">
        <v>48</v>
      </c>
      <c r="O198" s="6" t="n">
        <v>2.11</v>
      </c>
      <c r="P198" s="4" t="s">
        <v>27</v>
      </c>
      <c r="Q198" s="4" t="s">
        <v>22</v>
      </c>
    </row>
    <row r="199" customFormat="false" ht="15" hidden="false" customHeight="false" outlineLevel="0" collapsed="false">
      <c r="A199" s="3" t="n">
        <v>46253</v>
      </c>
      <c r="B199" s="4" t="s">
        <v>239</v>
      </c>
      <c r="C199" s="4" t="s">
        <v>29</v>
      </c>
      <c r="D199" s="4" t="s">
        <v>25</v>
      </c>
      <c r="E199" s="4" t="s">
        <v>40</v>
      </c>
      <c r="F199" s="5" t="n">
        <v>5069</v>
      </c>
      <c r="G199" s="5" t="n">
        <v>4427</v>
      </c>
      <c r="H199" s="5" t="n">
        <v>128</v>
      </c>
      <c r="I199" s="5" t="n">
        <v>480</v>
      </c>
      <c r="J199" s="5" t="n">
        <v>85</v>
      </c>
      <c r="K199" s="4" t="n">
        <v>12</v>
      </c>
      <c r="L199" s="5" t="n">
        <v>4560</v>
      </c>
      <c r="M199" s="5" t="n">
        <v>1331</v>
      </c>
      <c r="N199" s="4" t="n">
        <v>48</v>
      </c>
      <c r="O199" s="6" t="n">
        <v>1.34</v>
      </c>
      <c r="P199" s="4" t="s">
        <v>50</v>
      </c>
      <c r="Q199" s="4" t="s">
        <v>22</v>
      </c>
    </row>
    <row r="200" customFormat="false" ht="15" hidden="false" customHeight="false" outlineLevel="0" collapsed="false">
      <c r="A200" s="3" t="n">
        <v>46253</v>
      </c>
      <c r="B200" s="4" t="s">
        <v>240</v>
      </c>
      <c r="C200" s="4" t="s">
        <v>18</v>
      </c>
      <c r="D200" s="4" t="s">
        <v>30</v>
      </c>
      <c r="E200" s="4" t="s">
        <v>42</v>
      </c>
      <c r="F200" s="5" t="n">
        <v>10560</v>
      </c>
      <c r="G200" s="5" t="n">
        <v>10257</v>
      </c>
      <c r="H200" s="5" t="n">
        <v>111</v>
      </c>
      <c r="I200" s="5" t="n">
        <v>480</v>
      </c>
      <c r="J200" s="5" t="n">
        <v>27</v>
      </c>
      <c r="K200" s="4" t="n">
        <v>25</v>
      </c>
      <c r="L200" s="5" t="n">
        <v>10646</v>
      </c>
      <c r="M200" s="5" t="n">
        <v>1188</v>
      </c>
      <c r="N200" s="4" t="n">
        <v>48</v>
      </c>
      <c r="O200" s="6" t="n">
        <v>0.41</v>
      </c>
      <c r="P200" s="4" t="s">
        <v>50</v>
      </c>
      <c r="Q200" s="4" t="s">
        <v>22</v>
      </c>
    </row>
    <row r="201" customFormat="false" ht="15" hidden="false" customHeight="false" outlineLevel="0" collapsed="false">
      <c r="A201" s="3" t="n">
        <v>46253</v>
      </c>
      <c r="B201" s="4" t="s">
        <v>241</v>
      </c>
      <c r="C201" s="4" t="s">
        <v>24</v>
      </c>
      <c r="D201" s="4" t="s">
        <v>34</v>
      </c>
      <c r="E201" s="4" t="s">
        <v>44</v>
      </c>
      <c r="F201" s="5" t="n">
        <v>3379</v>
      </c>
      <c r="G201" s="5" t="n">
        <v>3586</v>
      </c>
      <c r="H201" s="5" t="n">
        <v>90</v>
      </c>
      <c r="I201" s="5" t="n">
        <v>480</v>
      </c>
      <c r="J201" s="5" t="n">
        <v>0</v>
      </c>
      <c r="K201" s="4" t="n">
        <v>8</v>
      </c>
      <c r="L201" s="5" t="n">
        <v>3706</v>
      </c>
      <c r="M201" s="5" t="n">
        <v>2675</v>
      </c>
      <c r="N201" s="4" t="n">
        <v>48</v>
      </c>
      <c r="O201" s="6" t="n">
        <v>2.37</v>
      </c>
      <c r="P201" s="4" t="s">
        <v>32</v>
      </c>
      <c r="Q201" s="4" t="s">
        <v>22</v>
      </c>
    </row>
    <row r="202" customFormat="false" ht="15" hidden="false" customHeight="false" outlineLevel="0" collapsed="false">
      <c r="A202" s="3" t="n">
        <v>46254</v>
      </c>
      <c r="B202" s="4" t="s">
        <v>242</v>
      </c>
      <c r="C202" s="4" t="s">
        <v>29</v>
      </c>
      <c r="D202" s="4" t="s">
        <v>19</v>
      </c>
      <c r="E202" s="4" t="s">
        <v>20</v>
      </c>
      <c r="F202" s="5" t="n">
        <v>3802</v>
      </c>
      <c r="G202" s="5" t="n">
        <v>3356</v>
      </c>
      <c r="H202" s="5" t="n">
        <v>111</v>
      </c>
      <c r="I202" s="5" t="n">
        <v>480</v>
      </c>
      <c r="J202" s="5" t="n">
        <v>69</v>
      </c>
      <c r="K202" s="4" t="n">
        <v>9</v>
      </c>
      <c r="L202" s="5" t="n">
        <v>3489</v>
      </c>
      <c r="M202" s="5" t="n">
        <v>1600</v>
      </c>
      <c r="N202" s="4" t="n">
        <v>48</v>
      </c>
      <c r="O202" s="6" t="n">
        <v>1.1</v>
      </c>
      <c r="P202" s="4" t="s">
        <v>50</v>
      </c>
      <c r="Q202" s="4" t="s">
        <v>22</v>
      </c>
    </row>
    <row r="203" customFormat="false" ht="15" hidden="false" customHeight="false" outlineLevel="0" collapsed="false">
      <c r="A203" s="3" t="n">
        <v>46254</v>
      </c>
      <c r="B203" s="4" t="s">
        <v>243</v>
      </c>
      <c r="C203" s="4" t="s">
        <v>18</v>
      </c>
      <c r="D203" s="4" t="s">
        <v>25</v>
      </c>
      <c r="E203" s="4" t="s">
        <v>26</v>
      </c>
      <c r="F203" s="5" t="n">
        <v>1690</v>
      </c>
      <c r="G203" s="5" t="n">
        <v>1640</v>
      </c>
      <c r="H203" s="5" t="n">
        <v>50</v>
      </c>
      <c r="I203" s="5" t="n">
        <v>480</v>
      </c>
      <c r="J203" s="5" t="n">
        <v>43</v>
      </c>
      <c r="K203" s="4" t="n">
        <v>4</v>
      </c>
      <c r="L203" s="5" t="n">
        <v>1705</v>
      </c>
      <c r="M203" s="5" t="n">
        <v>942</v>
      </c>
      <c r="N203" s="4" t="n">
        <v>48</v>
      </c>
      <c r="O203" s="6" t="n">
        <v>4.76</v>
      </c>
      <c r="P203" s="4" t="s">
        <v>65</v>
      </c>
      <c r="Q203" s="4" t="s">
        <v>22</v>
      </c>
    </row>
    <row r="204" customFormat="false" ht="15" hidden="false" customHeight="false" outlineLevel="0" collapsed="false">
      <c r="A204" s="3" t="n">
        <v>46254</v>
      </c>
      <c r="B204" s="4" t="s">
        <v>244</v>
      </c>
      <c r="C204" s="4" t="s">
        <v>24</v>
      </c>
      <c r="D204" s="4" t="s">
        <v>30</v>
      </c>
      <c r="E204" s="4" t="s">
        <v>31</v>
      </c>
      <c r="F204" s="5" t="n">
        <v>8448</v>
      </c>
      <c r="G204" s="5" t="n">
        <v>7611</v>
      </c>
      <c r="H204" s="5" t="n">
        <v>131</v>
      </c>
      <c r="I204" s="5" t="n">
        <v>480</v>
      </c>
      <c r="J204" s="5" t="n">
        <v>45</v>
      </c>
      <c r="K204" s="4" t="n">
        <v>20</v>
      </c>
      <c r="L204" s="5" t="n">
        <v>7807</v>
      </c>
      <c r="M204" s="5" t="n">
        <v>1244</v>
      </c>
      <c r="N204" s="4" t="n">
        <v>48</v>
      </c>
      <c r="O204" s="6" t="n">
        <v>0.75</v>
      </c>
      <c r="P204" s="4" t="s">
        <v>38</v>
      </c>
      <c r="Q204" s="4" t="s">
        <v>22</v>
      </c>
    </row>
    <row r="205" customFormat="false" ht="15" hidden="false" customHeight="false" outlineLevel="0" collapsed="false">
      <c r="A205" s="3" t="n">
        <v>46254</v>
      </c>
      <c r="B205" s="4" t="s">
        <v>245</v>
      </c>
      <c r="C205" s="4" t="s">
        <v>29</v>
      </c>
      <c r="D205" s="4" t="s">
        <v>34</v>
      </c>
      <c r="E205" s="4" t="s">
        <v>35</v>
      </c>
      <c r="F205" s="5" t="n">
        <v>2112</v>
      </c>
      <c r="G205" s="5" t="n">
        <v>2026</v>
      </c>
      <c r="H205" s="5" t="n">
        <v>104</v>
      </c>
      <c r="I205" s="5" t="n">
        <v>480</v>
      </c>
      <c r="J205" s="5" t="n">
        <v>20</v>
      </c>
      <c r="K205" s="4" t="n">
        <v>5</v>
      </c>
      <c r="L205" s="5" t="n">
        <v>2123</v>
      </c>
      <c r="M205" s="5" t="n">
        <v>1197</v>
      </c>
      <c r="N205" s="4" t="n">
        <v>48</v>
      </c>
      <c r="O205" s="6" t="n">
        <v>3.13</v>
      </c>
      <c r="P205" s="4" t="s">
        <v>27</v>
      </c>
      <c r="Q205" s="4" t="s">
        <v>22</v>
      </c>
    </row>
    <row r="206" customFormat="false" ht="15" hidden="false" customHeight="false" outlineLevel="0" collapsed="false">
      <c r="A206" s="3" t="n">
        <v>46255</v>
      </c>
      <c r="B206" s="4" t="s">
        <v>246</v>
      </c>
      <c r="C206" s="4" t="s">
        <v>18</v>
      </c>
      <c r="D206" s="4" t="s">
        <v>19</v>
      </c>
      <c r="E206" s="4" t="s">
        <v>37</v>
      </c>
      <c r="F206" s="5" t="n">
        <v>2534</v>
      </c>
      <c r="G206" s="5" t="n">
        <v>2545</v>
      </c>
      <c r="H206" s="5" t="n">
        <v>78</v>
      </c>
      <c r="I206" s="5" t="n">
        <v>480</v>
      </c>
      <c r="J206" s="5" t="n">
        <v>22</v>
      </c>
      <c r="K206" s="4" t="n">
        <v>6</v>
      </c>
      <c r="L206" s="5" t="n">
        <v>2629</v>
      </c>
      <c r="M206" s="5" t="n">
        <v>1427</v>
      </c>
      <c r="N206" s="4" t="n">
        <v>48</v>
      </c>
      <c r="O206" s="6" t="n">
        <v>2.22</v>
      </c>
      <c r="P206" s="4" t="s">
        <v>50</v>
      </c>
      <c r="Q206" s="4" t="s">
        <v>22</v>
      </c>
    </row>
    <row r="207" customFormat="false" ht="15" hidden="false" customHeight="false" outlineLevel="0" collapsed="false">
      <c r="A207" s="3" t="n">
        <v>46255</v>
      </c>
      <c r="B207" s="4" t="s">
        <v>247</v>
      </c>
      <c r="C207" s="4" t="s">
        <v>24</v>
      </c>
      <c r="D207" s="4" t="s">
        <v>25</v>
      </c>
      <c r="E207" s="4" t="s">
        <v>40</v>
      </c>
      <c r="F207" s="5" t="n">
        <v>5069</v>
      </c>
      <c r="G207" s="5" t="n">
        <v>4426</v>
      </c>
      <c r="H207" s="5" t="n">
        <v>102</v>
      </c>
      <c r="I207" s="5" t="n">
        <v>480</v>
      </c>
      <c r="J207" s="5" t="n">
        <v>81</v>
      </c>
      <c r="K207" s="4" t="n">
        <v>12</v>
      </c>
      <c r="L207" s="5" t="n">
        <v>4604</v>
      </c>
      <c r="M207" s="5" t="n">
        <v>1246</v>
      </c>
      <c r="N207" s="4" t="n">
        <v>48</v>
      </c>
      <c r="O207" s="6" t="n">
        <v>1.32</v>
      </c>
      <c r="P207" s="4" t="s">
        <v>55</v>
      </c>
      <c r="Q207" s="4" t="s">
        <v>22</v>
      </c>
    </row>
    <row r="208" customFormat="false" ht="15" hidden="false" customHeight="false" outlineLevel="0" collapsed="false">
      <c r="A208" s="3" t="n">
        <v>46255</v>
      </c>
      <c r="B208" s="4" t="s">
        <v>248</v>
      </c>
      <c r="C208" s="4" t="s">
        <v>29</v>
      </c>
      <c r="D208" s="4" t="s">
        <v>30</v>
      </c>
      <c r="E208" s="4" t="s">
        <v>42</v>
      </c>
      <c r="F208" s="5" t="n">
        <v>10560</v>
      </c>
      <c r="G208" s="5" t="n">
        <v>7603</v>
      </c>
      <c r="H208" s="5" t="n">
        <v>70</v>
      </c>
      <c r="I208" s="5" t="n">
        <v>480</v>
      </c>
      <c r="J208" s="5" t="n">
        <v>130</v>
      </c>
      <c r="K208" s="4" t="n">
        <v>25</v>
      </c>
      <c r="L208" s="5" t="n">
        <v>7927</v>
      </c>
      <c r="M208" s="5" t="n">
        <v>879</v>
      </c>
      <c r="N208" s="4" t="n">
        <v>48</v>
      </c>
      <c r="O208" s="6" t="n">
        <v>0.41</v>
      </c>
      <c r="P208" s="4" t="s">
        <v>50</v>
      </c>
      <c r="Q208" s="4" t="s">
        <v>22</v>
      </c>
    </row>
    <row r="209" customFormat="false" ht="15" hidden="false" customHeight="false" outlineLevel="0" collapsed="false">
      <c r="A209" s="3" t="n">
        <v>46255</v>
      </c>
      <c r="B209" s="4" t="s">
        <v>249</v>
      </c>
      <c r="C209" s="4" t="s">
        <v>18</v>
      </c>
      <c r="D209" s="4" t="s">
        <v>34</v>
      </c>
      <c r="E209" s="4" t="s">
        <v>44</v>
      </c>
      <c r="F209" s="5" t="n">
        <v>3379</v>
      </c>
      <c r="G209" s="5" t="n">
        <v>3407</v>
      </c>
      <c r="H209" s="5" t="n">
        <v>71</v>
      </c>
      <c r="I209" s="5" t="n">
        <v>480</v>
      </c>
      <c r="J209" s="5" t="n">
        <v>0</v>
      </c>
      <c r="K209" s="4" t="n">
        <v>8</v>
      </c>
      <c r="L209" s="5" t="n">
        <v>3550</v>
      </c>
      <c r="M209" s="5" t="n">
        <v>2328</v>
      </c>
      <c r="N209" s="4" t="n">
        <v>48</v>
      </c>
      <c r="O209" s="6" t="n">
        <v>2.44</v>
      </c>
      <c r="P209" s="4" t="s">
        <v>32</v>
      </c>
      <c r="Q209" s="4" t="s">
        <v>22</v>
      </c>
    </row>
    <row r="210" customFormat="false" ht="15" hidden="false" customHeight="false" outlineLevel="0" collapsed="false">
      <c r="A210" s="3" t="n">
        <v>46256</v>
      </c>
      <c r="B210" s="4" t="s">
        <v>250</v>
      </c>
      <c r="C210" s="4" t="s">
        <v>24</v>
      </c>
      <c r="D210" s="4" t="s">
        <v>19</v>
      </c>
      <c r="E210" s="4" t="s">
        <v>20</v>
      </c>
      <c r="F210" s="5" t="n">
        <v>3802</v>
      </c>
      <c r="G210" s="5" t="n">
        <v>4063</v>
      </c>
      <c r="H210" s="5" t="n">
        <v>68</v>
      </c>
      <c r="I210" s="5" t="n">
        <v>480</v>
      </c>
      <c r="J210" s="5" t="n">
        <v>0</v>
      </c>
      <c r="K210" s="4" t="n">
        <v>9</v>
      </c>
      <c r="L210" s="5" t="n">
        <v>4194</v>
      </c>
      <c r="M210" s="5" t="n">
        <v>1907</v>
      </c>
      <c r="N210" s="4" t="n">
        <v>48</v>
      </c>
      <c r="O210" s="6" t="n">
        <v>1.07</v>
      </c>
      <c r="P210" s="4" t="s">
        <v>32</v>
      </c>
      <c r="Q210" s="4" t="s">
        <v>22</v>
      </c>
    </row>
    <row r="211" customFormat="false" ht="15" hidden="false" customHeight="false" outlineLevel="0" collapsed="false">
      <c r="A211" s="3" t="n">
        <v>46256</v>
      </c>
      <c r="B211" s="4" t="s">
        <v>251</v>
      </c>
      <c r="C211" s="4" t="s">
        <v>29</v>
      </c>
      <c r="D211" s="4" t="s">
        <v>25</v>
      </c>
      <c r="E211" s="4" t="s">
        <v>26</v>
      </c>
      <c r="F211" s="5" t="n">
        <v>1690</v>
      </c>
      <c r="G211" s="5" t="n">
        <v>1559</v>
      </c>
      <c r="H211" s="5" t="n">
        <v>63</v>
      </c>
      <c r="I211" s="5" t="n">
        <v>480</v>
      </c>
      <c r="J211" s="5" t="n">
        <v>44</v>
      </c>
      <c r="K211" s="4" t="n">
        <v>4</v>
      </c>
      <c r="L211" s="5" t="n">
        <v>1625</v>
      </c>
      <c r="M211" s="5" t="n">
        <v>795</v>
      </c>
      <c r="N211" s="4" t="n">
        <v>48</v>
      </c>
      <c r="O211" s="6" t="n">
        <v>4.77</v>
      </c>
      <c r="P211" s="4" t="s">
        <v>21</v>
      </c>
      <c r="Q211" s="4" t="s">
        <v>22</v>
      </c>
    </row>
    <row r="212" customFormat="false" ht="15" hidden="false" customHeight="false" outlineLevel="0" collapsed="false">
      <c r="A212" s="3" t="n">
        <v>46256</v>
      </c>
      <c r="B212" s="4" t="s">
        <v>252</v>
      </c>
      <c r="C212" s="4" t="s">
        <v>18</v>
      </c>
      <c r="D212" s="4" t="s">
        <v>30</v>
      </c>
      <c r="E212" s="4" t="s">
        <v>31</v>
      </c>
      <c r="F212" s="5" t="n">
        <v>8448</v>
      </c>
      <c r="G212" s="5" t="n">
        <v>7945</v>
      </c>
      <c r="H212" s="5" t="n">
        <v>77</v>
      </c>
      <c r="I212" s="5" t="n">
        <v>480</v>
      </c>
      <c r="J212" s="5" t="n">
        <v>50</v>
      </c>
      <c r="K212" s="4" t="n">
        <v>20</v>
      </c>
      <c r="L212" s="5" t="n">
        <v>8226</v>
      </c>
      <c r="M212" s="5" t="n">
        <v>1244</v>
      </c>
      <c r="N212" s="4" t="n">
        <v>48</v>
      </c>
      <c r="O212" s="6" t="n">
        <v>0.75</v>
      </c>
      <c r="P212" s="4" t="s">
        <v>27</v>
      </c>
      <c r="Q212" s="4" t="s">
        <v>22</v>
      </c>
    </row>
    <row r="213" customFormat="false" ht="15" hidden="false" customHeight="false" outlineLevel="0" collapsed="false">
      <c r="A213" s="3" t="n">
        <v>46256</v>
      </c>
      <c r="B213" s="4" t="s">
        <v>253</v>
      </c>
      <c r="C213" s="4" t="s">
        <v>24</v>
      </c>
      <c r="D213" s="4" t="s">
        <v>34</v>
      </c>
      <c r="E213" s="4" t="s">
        <v>35</v>
      </c>
      <c r="F213" s="5" t="n">
        <v>2112</v>
      </c>
      <c r="G213" s="5" t="n">
        <v>1982</v>
      </c>
      <c r="H213" s="5" t="n">
        <v>94</v>
      </c>
      <c r="I213" s="5" t="n">
        <v>480</v>
      </c>
      <c r="J213" s="5" t="n">
        <v>40</v>
      </c>
      <c r="K213" s="4" t="n">
        <v>5</v>
      </c>
      <c r="L213" s="5" t="n">
        <v>2075</v>
      </c>
      <c r="M213" s="5" t="n">
        <v>1085</v>
      </c>
      <c r="N213" s="4" t="n">
        <v>48</v>
      </c>
      <c r="O213" s="6" t="n">
        <v>3.03</v>
      </c>
      <c r="P213" s="4" t="s">
        <v>69</v>
      </c>
      <c r="Q213" s="4" t="s">
        <v>22</v>
      </c>
    </row>
    <row r="214" customFormat="false" ht="15" hidden="false" customHeight="false" outlineLevel="0" collapsed="false">
      <c r="A214" s="3" t="n">
        <v>46257</v>
      </c>
      <c r="B214" s="4" t="s">
        <v>254</v>
      </c>
      <c r="C214" s="4" t="s">
        <v>29</v>
      </c>
      <c r="D214" s="4" t="s">
        <v>19</v>
      </c>
      <c r="E214" s="4" t="s">
        <v>37</v>
      </c>
      <c r="F214" s="5" t="n">
        <v>2534</v>
      </c>
      <c r="G214" s="5" t="n">
        <v>2200</v>
      </c>
      <c r="H214" s="5" t="n">
        <v>84</v>
      </c>
      <c r="I214" s="5" t="n">
        <v>480</v>
      </c>
      <c r="J214" s="5" t="n">
        <v>48</v>
      </c>
      <c r="K214" s="4" t="n">
        <v>6</v>
      </c>
      <c r="L214" s="5" t="n">
        <v>2284</v>
      </c>
      <c r="M214" s="5" t="n">
        <v>1379</v>
      </c>
      <c r="N214" s="4" t="n">
        <v>48</v>
      </c>
      <c r="O214" s="6" t="n">
        <v>2.22</v>
      </c>
      <c r="P214" s="4" t="s">
        <v>69</v>
      </c>
      <c r="Q214" s="4" t="s">
        <v>22</v>
      </c>
    </row>
    <row r="215" customFormat="false" ht="15" hidden="false" customHeight="false" outlineLevel="0" collapsed="false">
      <c r="A215" s="3" t="n">
        <v>46257</v>
      </c>
      <c r="B215" s="4" t="s">
        <v>255</v>
      </c>
      <c r="C215" s="4" t="s">
        <v>18</v>
      </c>
      <c r="D215" s="4" t="s">
        <v>25</v>
      </c>
      <c r="E215" s="4" t="s">
        <v>40</v>
      </c>
      <c r="F215" s="5" t="n">
        <v>5069</v>
      </c>
      <c r="G215" s="5" t="n">
        <v>4227</v>
      </c>
      <c r="H215" s="5" t="n">
        <v>118</v>
      </c>
      <c r="I215" s="5" t="n">
        <v>480</v>
      </c>
      <c r="J215" s="5" t="n">
        <v>110</v>
      </c>
      <c r="K215" s="4" t="n">
        <v>12</v>
      </c>
      <c r="L215" s="5" t="n">
        <v>4375</v>
      </c>
      <c r="M215" s="5" t="n">
        <v>1267</v>
      </c>
      <c r="N215" s="4" t="n">
        <v>48</v>
      </c>
      <c r="O215" s="6" t="n">
        <v>1.37</v>
      </c>
      <c r="P215" s="4" t="s">
        <v>21</v>
      </c>
      <c r="Q215" s="4" t="s">
        <v>22</v>
      </c>
    </row>
    <row r="216" customFormat="false" ht="15" hidden="false" customHeight="false" outlineLevel="0" collapsed="false">
      <c r="A216" s="3" t="n">
        <v>46257</v>
      </c>
      <c r="B216" s="4" t="s">
        <v>256</v>
      </c>
      <c r="C216" s="4" t="s">
        <v>24</v>
      </c>
      <c r="D216" s="4" t="s">
        <v>30</v>
      </c>
      <c r="E216" s="4" t="s">
        <v>42</v>
      </c>
      <c r="F216" s="5" t="n">
        <v>10560</v>
      </c>
      <c r="G216" s="5" t="n">
        <v>11372</v>
      </c>
      <c r="H216" s="5" t="n">
        <v>69</v>
      </c>
      <c r="I216" s="5" t="n">
        <v>480</v>
      </c>
      <c r="J216" s="5" t="n">
        <v>0</v>
      </c>
      <c r="K216" s="4" t="n">
        <v>25</v>
      </c>
      <c r="L216" s="5" t="n">
        <v>11818</v>
      </c>
      <c r="M216" s="5" t="n">
        <v>1257</v>
      </c>
      <c r="N216" s="4" t="n">
        <v>48</v>
      </c>
      <c r="O216" s="6" t="n">
        <v>0.42</v>
      </c>
      <c r="P216" s="4" t="s">
        <v>32</v>
      </c>
      <c r="Q216" s="4" t="s">
        <v>22</v>
      </c>
    </row>
    <row r="217" customFormat="false" ht="15" hidden="false" customHeight="false" outlineLevel="0" collapsed="false">
      <c r="A217" s="3" t="n">
        <v>46257</v>
      </c>
      <c r="B217" s="4" t="s">
        <v>257</v>
      </c>
      <c r="C217" s="4" t="s">
        <v>29</v>
      </c>
      <c r="D217" s="4" t="s">
        <v>34</v>
      </c>
      <c r="E217" s="4" t="s">
        <v>44</v>
      </c>
      <c r="F217" s="5" t="n">
        <v>3379</v>
      </c>
      <c r="G217" s="5" t="n">
        <v>3434</v>
      </c>
      <c r="H217" s="5" t="n">
        <v>123</v>
      </c>
      <c r="I217" s="5" t="n">
        <v>480</v>
      </c>
      <c r="J217" s="5" t="n">
        <v>0</v>
      </c>
      <c r="K217" s="4" t="n">
        <v>8</v>
      </c>
      <c r="L217" s="5" t="n">
        <v>3600</v>
      </c>
      <c r="M217" s="5" t="n">
        <v>2573</v>
      </c>
      <c r="N217" s="4" t="n">
        <v>48</v>
      </c>
      <c r="O217" s="6" t="n">
        <v>2.36</v>
      </c>
      <c r="P217" s="4" t="s">
        <v>32</v>
      </c>
      <c r="Q217" s="4" t="s">
        <v>22</v>
      </c>
    </row>
    <row r="218" customFormat="false" ht="15" hidden="false" customHeight="false" outlineLevel="0" collapsed="false">
      <c r="A218" s="3" t="n">
        <v>46258</v>
      </c>
      <c r="B218" s="4" t="s">
        <v>258</v>
      </c>
      <c r="C218" s="4" t="s">
        <v>18</v>
      </c>
      <c r="D218" s="4" t="s">
        <v>19</v>
      </c>
      <c r="E218" s="4" t="s">
        <v>20</v>
      </c>
      <c r="F218" s="5" t="n">
        <v>3802</v>
      </c>
      <c r="G218" s="5" t="n">
        <v>3667</v>
      </c>
      <c r="H218" s="5" t="n">
        <v>55</v>
      </c>
      <c r="I218" s="5" t="n">
        <v>480</v>
      </c>
      <c r="J218" s="5" t="n">
        <v>20</v>
      </c>
      <c r="K218" s="4" t="n">
        <v>9</v>
      </c>
      <c r="L218" s="5" t="n">
        <v>3826</v>
      </c>
      <c r="M218" s="5" t="n">
        <v>1746</v>
      </c>
      <c r="N218" s="4" t="n">
        <v>48</v>
      </c>
      <c r="O218" s="6" t="n">
        <v>1.09</v>
      </c>
      <c r="P218" s="4" t="s">
        <v>50</v>
      </c>
      <c r="Q218" s="4" t="s">
        <v>22</v>
      </c>
    </row>
    <row r="219" customFormat="false" ht="15" hidden="false" customHeight="false" outlineLevel="0" collapsed="false">
      <c r="A219" s="3" t="n">
        <v>46258</v>
      </c>
      <c r="B219" s="4" t="s">
        <v>259</v>
      </c>
      <c r="C219" s="4" t="s">
        <v>24</v>
      </c>
      <c r="D219" s="4" t="s">
        <v>25</v>
      </c>
      <c r="E219" s="4" t="s">
        <v>26</v>
      </c>
      <c r="F219" s="5" t="n">
        <v>1690</v>
      </c>
      <c r="G219" s="5" t="n">
        <v>1429</v>
      </c>
      <c r="H219" s="5" t="n">
        <v>36</v>
      </c>
      <c r="I219" s="5" t="n">
        <v>480</v>
      </c>
      <c r="J219" s="5" t="n">
        <v>101</v>
      </c>
      <c r="K219" s="4" t="n">
        <v>4</v>
      </c>
      <c r="L219" s="5" t="n">
        <v>1468</v>
      </c>
      <c r="M219" s="5" t="n">
        <v>813</v>
      </c>
      <c r="N219" s="4" t="n">
        <v>48</v>
      </c>
      <c r="O219" s="6" t="n">
        <v>4.65</v>
      </c>
      <c r="P219" s="4" t="s">
        <v>69</v>
      </c>
      <c r="Q219" s="4" t="s">
        <v>22</v>
      </c>
    </row>
    <row r="220" customFormat="false" ht="15" hidden="false" customHeight="false" outlineLevel="0" collapsed="false">
      <c r="A220" s="3" t="n">
        <v>46258</v>
      </c>
      <c r="B220" s="4" t="s">
        <v>260</v>
      </c>
      <c r="C220" s="4" t="s">
        <v>29</v>
      </c>
      <c r="D220" s="4" t="s">
        <v>30</v>
      </c>
      <c r="E220" s="4" t="s">
        <v>31</v>
      </c>
      <c r="F220" s="5" t="n">
        <v>8448</v>
      </c>
      <c r="G220" s="5" t="n">
        <v>7876</v>
      </c>
      <c r="H220" s="5" t="n">
        <v>171</v>
      </c>
      <c r="I220" s="5" t="n">
        <v>480</v>
      </c>
      <c r="J220" s="5" t="n">
        <v>24</v>
      </c>
      <c r="K220" s="4" t="n">
        <v>20</v>
      </c>
      <c r="L220" s="5" t="n">
        <v>8261</v>
      </c>
      <c r="M220" s="5" t="n">
        <v>1135</v>
      </c>
      <c r="N220" s="4" t="n">
        <v>48</v>
      </c>
      <c r="O220" s="6" t="n">
        <v>0.78</v>
      </c>
      <c r="P220" s="4" t="s">
        <v>21</v>
      </c>
      <c r="Q220" s="4" t="s">
        <v>99</v>
      </c>
    </row>
    <row r="221" customFormat="false" ht="15" hidden="false" customHeight="false" outlineLevel="0" collapsed="false">
      <c r="A221" s="3" t="n">
        <v>46258</v>
      </c>
      <c r="B221" s="4" t="s">
        <v>261</v>
      </c>
      <c r="C221" s="4" t="s">
        <v>18</v>
      </c>
      <c r="D221" s="4" t="s">
        <v>34</v>
      </c>
      <c r="E221" s="4" t="s">
        <v>35</v>
      </c>
      <c r="F221" s="5" t="n">
        <v>2112</v>
      </c>
      <c r="G221" s="5" t="n">
        <v>1866</v>
      </c>
      <c r="H221" s="5" t="n">
        <v>55</v>
      </c>
      <c r="I221" s="5" t="n">
        <v>480</v>
      </c>
      <c r="J221" s="5" t="n">
        <v>52</v>
      </c>
      <c r="K221" s="4" t="n">
        <v>5</v>
      </c>
      <c r="L221" s="5" t="n">
        <v>1932</v>
      </c>
      <c r="M221" s="5" t="n">
        <v>1027</v>
      </c>
      <c r="N221" s="4" t="n">
        <v>48</v>
      </c>
      <c r="O221" s="6" t="n">
        <v>3.16</v>
      </c>
      <c r="P221" s="4" t="s">
        <v>21</v>
      </c>
      <c r="Q221" s="4" t="s">
        <v>22</v>
      </c>
    </row>
    <row r="222" customFormat="false" ht="15" hidden="false" customHeight="false" outlineLevel="0" collapsed="false">
      <c r="A222" s="3" t="n">
        <v>46259</v>
      </c>
      <c r="B222" s="4" t="s">
        <v>262</v>
      </c>
      <c r="C222" s="4" t="s">
        <v>24</v>
      </c>
      <c r="D222" s="4" t="s">
        <v>19</v>
      </c>
      <c r="E222" s="4" t="s">
        <v>37</v>
      </c>
      <c r="F222" s="5" t="n">
        <v>2534</v>
      </c>
      <c r="G222" s="5" t="n">
        <v>2466</v>
      </c>
      <c r="H222" s="5" t="n">
        <v>81</v>
      </c>
      <c r="I222" s="5" t="n">
        <v>480</v>
      </c>
      <c r="J222" s="5" t="n">
        <v>18</v>
      </c>
      <c r="K222" s="4" t="n">
        <v>6</v>
      </c>
      <c r="L222" s="5" t="n">
        <v>2541</v>
      </c>
      <c r="M222" s="5" t="n">
        <v>1371</v>
      </c>
      <c r="N222" s="4" t="n">
        <v>48</v>
      </c>
      <c r="O222" s="6" t="n">
        <v>2.12</v>
      </c>
      <c r="P222" s="4" t="s">
        <v>69</v>
      </c>
      <c r="Q222" s="4" t="s">
        <v>22</v>
      </c>
    </row>
    <row r="223" customFormat="false" ht="15" hidden="false" customHeight="false" outlineLevel="0" collapsed="false">
      <c r="A223" s="3" t="n">
        <v>46259</v>
      </c>
      <c r="B223" s="4" t="s">
        <v>263</v>
      </c>
      <c r="C223" s="4" t="s">
        <v>29</v>
      </c>
      <c r="D223" s="4" t="s">
        <v>25</v>
      </c>
      <c r="E223" s="4" t="s">
        <v>40</v>
      </c>
      <c r="F223" s="5" t="n">
        <v>5069</v>
      </c>
      <c r="G223" s="5" t="n">
        <v>4694</v>
      </c>
      <c r="H223" s="5" t="n">
        <v>116</v>
      </c>
      <c r="I223" s="5" t="n">
        <v>480</v>
      </c>
      <c r="J223" s="5" t="n">
        <v>39</v>
      </c>
      <c r="K223" s="4" t="n">
        <v>12</v>
      </c>
      <c r="L223" s="5" t="n">
        <v>4889</v>
      </c>
      <c r="M223" s="5" t="n">
        <v>1329</v>
      </c>
      <c r="N223" s="4" t="n">
        <v>48</v>
      </c>
      <c r="O223" s="6" t="n">
        <v>1.32</v>
      </c>
      <c r="P223" s="4" t="s">
        <v>27</v>
      </c>
      <c r="Q223" s="4" t="s">
        <v>22</v>
      </c>
    </row>
    <row r="224" customFormat="false" ht="15" hidden="false" customHeight="false" outlineLevel="0" collapsed="false">
      <c r="A224" s="3" t="n">
        <v>46259</v>
      </c>
      <c r="B224" s="4" t="s">
        <v>264</v>
      </c>
      <c r="C224" s="4" t="s">
        <v>18</v>
      </c>
      <c r="D224" s="4" t="s">
        <v>30</v>
      </c>
      <c r="E224" s="4" t="s">
        <v>42</v>
      </c>
      <c r="F224" s="5" t="n">
        <v>10560</v>
      </c>
      <c r="G224" s="5" t="n">
        <v>10418</v>
      </c>
      <c r="H224" s="5" t="n">
        <v>100</v>
      </c>
      <c r="I224" s="5" t="n">
        <v>480</v>
      </c>
      <c r="J224" s="5" t="n">
        <v>0</v>
      </c>
      <c r="K224" s="4" t="n">
        <v>25</v>
      </c>
      <c r="L224" s="5" t="n">
        <v>10862</v>
      </c>
      <c r="M224" s="5" t="n">
        <v>1145</v>
      </c>
      <c r="N224" s="4" t="n">
        <v>48</v>
      </c>
      <c r="O224" s="6" t="n">
        <v>0.41</v>
      </c>
      <c r="P224" s="4" t="s">
        <v>32</v>
      </c>
      <c r="Q224" s="4" t="s">
        <v>22</v>
      </c>
    </row>
    <row r="225" customFormat="false" ht="15" hidden="false" customHeight="false" outlineLevel="0" collapsed="false">
      <c r="A225" s="3" t="n">
        <v>46259</v>
      </c>
      <c r="B225" s="4" t="s">
        <v>265</v>
      </c>
      <c r="C225" s="4" t="s">
        <v>24</v>
      </c>
      <c r="D225" s="4" t="s">
        <v>34</v>
      </c>
      <c r="E225" s="4" t="s">
        <v>44</v>
      </c>
      <c r="F225" s="5" t="n">
        <v>3379</v>
      </c>
      <c r="G225" s="5" t="n">
        <v>3101</v>
      </c>
      <c r="H225" s="5" t="n">
        <v>80</v>
      </c>
      <c r="I225" s="5" t="n">
        <v>480</v>
      </c>
      <c r="J225" s="5" t="n">
        <v>37</v>
      </c>
      <c r="K225" s="4" t="n">
        <v>8</v>
      </c>
      <c r="L225" s="5" t="n">
        <v>3219</v>
      </c>
      <c r="M225" s="5" t="n">
        <v>2004</v>
      </c>
      <c r="N225" s="4" t="n">
        <v>48</v>
      </c>
      <c r="O225" s="6" t="n">
        <v>2.33</v>
      </c>
      <c r="P225" s="4" t="s">
        <v>27</v>
      </c>
      <c r="Q225" s="4" t="s">
        <v>22</v>
      </c>
    </row>
    <row r="226" customFormat="false" ht="15" hidden="false" customHeight="false" outlineLevel="0" collapsed="false">
      <c r="A226" s="3" t="n">
        <v>46260</v>
      </c>
      <c r="B226" s="4" t="s">
        <v>266</v>
      </c>
      <c r="C226" s="4" t="s">
        <v>29</v>
      </c>
      <c r="D226" s="4" t="s">
        <v>19</v>
      </c>
      <c r="E226" s="4" t="s">
        <v>20</v>
      </c>
      <c r="F226" s="5" t="n">
        <v>3802</v>
      </c>
      <c r="G226" s="5" t="n">
        <v>3530</v>
      </c>
      <c r="H226" s="5" t="n">
        <v>86</v>
      </c>
      <c r="I226" s="5" t="n">
        <v>480</v>
      </c>
      <c r="J226" s="5" t="n">
        <v>37</v>
      </c>
      <c r="K226" s="4" t="n">
        <v>9</v>
      </c>
      <c r="L226" s="5" t="n">
        <v>3659</v>
      </c>
      <c r="M226" s="5" t="n">
        <v>1448</v>
      </c>
      <c r="N226" s="4" t="n">
        <v>48</v>
      </c>
      <c r="O226" s="6" t="n">
        <v>1.08</v>
      </c>
      <c r="P226" s="4" t="s">
        <v>38</v>
      </c>
      <c r="Q226" s="4" t="s">
        <v>22</v>
      </c>
    </row>
    <row r="227" customFormat="false" ht="15" hidden="false" customHeight="false" outlineLevel="0" collapsed="false">
      <c r="A227" s="3" t="n">
        <v>46260</v>
      </c>
      <c r="B227" s="4" t="s">
        <v>267</v>
      </c>
      <c r="C227" s="4" t="s">
        <v>18</v>
      </c>
      <c r="D227" s="4" t="s">
        <v>25</v>
      </c>
      <c r="E227" s="4" t="s">
        <v>26</v>
      </c>
      <c r="F227" s="5" t="n">
        <v>1690</v>
      </c>
      <c r="G227" s="5" t="n">
        <v>1656</v>
      </c>
      <c r="H227" s="5" t="n">
        <v>44</v>
      </c>
      <c r="I227" s="5" t="n">
        <v>480</v>
      </c>
      <c r="J227" s="5" t="n">
        <v>37</v>
      </c>
      <c r="K227" s="4" t="n">
        <v>4</v>
      </c>
      <c r="L227" s="5" t="n">
        <v>1699</v>
      </c>
      <c r="M227" s="5" t="n">
        <v>882</v>
      </c>
      <c r="N227" s="4" t="n">
        <v>48</v>
      </c>
      <c r="O227" s="6" t="n">
        <v>4.61</v>
      </c>
      <c r="P227" s="4" t="s">
        <v>38</v>
      </c>
      <c r="Q227" s="4" t="s">
        <v>22</v>
      </c>
    </row>
    <row r="228" customFormat="false" ht="15" hidden="false" customHeight="false" outlineLevel="0" collapsed="false">
      <c r="A228" s="3" t="n">
        <v>46260</v>
      </c>
      <c r="B228" s="4" t="s">
        <v>268</v>
      </c>
      <c r="C228" s="4" t="s">
        <v>24</v>
      </c>
      <c r="D228" s="4" t="s">
        <v>30</v>
      </c>
      <c r="E228" s="4" t="s">
        <v>31</v>
      </c>
      <c r="F228" s="5" t="n">
        <v>8448</v>
      </c>
      <c r="G228" s="5" t="n">
        <v>8322</v>
      </c>
      <c r="H228" s="5" t="n">
        <v>168</v>
      </c>
      <c r="I228" s="5" t="n">
        <v>480</v>
      </c>
      <c r="J228" s="5" t="n">
        <v>0</v>
      </c>
      <c r="K228" s="4" t="n">
        <v>20</v>
      </c>
      <c r="L228" s="5" t="n">
        <v>8537</v>
      </c>
      <c r="M228" s="5" t="n">
        <v>1226</v>
      </c>
      <c r="N228" s="4" t="n">
        <v>48</v>
      </c>
      <c r="O228" s="6" t="n">
        <v>0.78</v>
      </c>
      <c r="P228" s="4" t="s">
        <v>32</v>
      </c>
      <c r="Q228" s="4" t="s">
        <v>22</v>
      </c>
    </row>
    <row r="229" customFormat="false" ht="15" hidden="false" customHeight="false" outlineLevel="0" collapsed="false">
      <c r="A229" s="3" t="n">
        <v>46260</v>
      </c>
      <c r="B229" s="4" t="s">
        <v>269</v>
      </c>
      <c r="C229" s="4" t="s">
        <v>29</v>
      </c>
      <c r="D229" s="4" t="s">
        <v>34</v>
      </c>
      <c r="E229" s="4" t="s">
        <v>35</v>
      </c>
      <c r="F229" s="5" t="n">
        <v>2112</v>
      </c>
      <c r="G229" s="5" t="n">
        <v>2171</v>
      </c>
      <c r="H229" s="5" t="n">
        <v>85</v>
      </c>
      <c r="I229" s="5" t="n">
        <v>480</v>
      </c>
      <c r="J229" s="5" t="n">
        <v>0</v>
      </c>
      <c r="K229" s="4" t="n">
        <v>5</v>
      </c>
      <c r="L229" s="5" t="n">
        <v>2279</v>
      </c>
      <c r="M229" s="5" t="n">
        <v>1166</v>
      </c>
      <c r="N229" s="4" t="n">
        <v>48</v>
      </c>
      <c r="O229" s="6" t="n">
        <v>3.16</v>
      </c>
      <c r="P229" s="4" t="s">
        <v>32</v>
      </c>
      <c r="Q229" s="4" t="s">
        <v>22</v>
      </c>
    </row>
    <row r="230" customFormat="false" ht="15" hidden="false" customHeight="false" outlineLevel="0" collapsed="false">
      <c r="A230" s="3" t="n">
        <v>46261</v>
      </c>
      <c r="B230" s="4" t="s">
        <v>270</v>
      </c>
      <c r="C230" s="4" t="s">
        <v>18</v>
      </c>
      <c r="D230" s="4" t="s">
        <v>19</v>
      </c>
      <c r="E230" s="4" t="s">
        <v>37</v>
      </c>
      <c r="F230" s="5" t="n">
        <v>2534</v>
      </c>
      <c r="G230" s="5" t="n">
        <v>2352</v>
      </c>
      <c r="H230" s="5" t="n">
        <v>79</v>
      </c>
      <c r="I230" s="5" t="n">
        <v>480</v>
      </c>
      <c r="J230" s="5" t="n">
        <v>51</v>
      </c>
      <c r="K230" s="4" t="n">
        <v>6</v>
      </c>
      <c r="L230" s="5" t="n">
        <v>2431</v>
      </c>
      <c r="M230" s="5" t="n">
        <v>1320</v>
      </c>
      <c r="N230" s="4" t="n">
        <v>48</v>
      </c>
      <c r="O230" s="6" t="n">
        <v>2.17</v>
      </c>
      <c r="P230" s="4" t="s">
        <v>27</v>
      </c>
      <c r="Q230" s="4" t="s">
        <v>22</v>
      </c>
    </row>
    <row r="231" customFormat="false" ht="15" hidden="false" customHeight="false" outlineLevel="0" collapsed="false">
      <c r="A231" s="3" t="n">
        <v>46261</v>
      </c>
      <c r="B231" s="4" t="s">
        <v>271</v>
      </c>
      <c r="C231" s="4" t="s">
        <v>24</v>
      </c>
      <c r="D231" s="4" t="s">
        <v>25</v>
      </c>
      <c r="E231" s="4" t="s">
        <v>40</v>
      </c>
      <c r="F231" s="5" t="n">
        <v>5069</v>
      </c>
      <c r="G231" s="5" t="n">
        <v>4698</v>
      </c>
      <c r="H231" s="5" t="n">
        <v>79</v>
      </c>
      <c r="I231" s="5" t="n">
        <v>480</v>
      </c>
      <c r="J231" s="5" t="n">
        <v>26</v>
      </c>
      <c r="K231" s="4" t="n">
        <v>12</v>
      </c>
      <c r="L231" s="5" t="n">
        <v>4895</v>
      </c>
      <c r="M231" s="5" t="n">
        <v>1422</v>
      </c>
      <c r="N231" s="4" t="n">
        <v>48</v>
      </c>
      <c r="O231" s="6" t="n">
        <v>1.34</v>
      </c>
      <c r="P231" s="4" t="s">
        <v>21</v>
      </c>
      <c r="Q231" s="4" t="s">
        <v>22</v>
      </c>
    </row>
    <row r="232" customFormat="false" ht="15" hidden="false" customHeight="false" outlineLevel="0" collapsed="false">
      <c r="A232" s="3" t="n">
        <v>46261</v>
      </c>
      <c r="B232" s="4" t="s">
        <v>272</v>
      </c>
      <c r="C232" s="4" t="s">
        <v>29</v>
      </c>
      <c r="D232" s="4" t="s">
        <v>30</v>
      </c>
      <c r="E232" s="4" t="s">
        <v>42</v>
      </c>
      <c r="F232" s="5" t="n">
        <v>10560</v>
      </c>
      <c r="G232" s="5" t="n">
        <v>10551</v>
      </c>
      <c r="H232" s="5" t="n">
        <v>149</v>
      </c>
      <c r="I232" s="5" t="n">
        <v>480</v>
      </c>
      <c r="J232" s="5" t="n">
        <v>28</v>
      </c>
      <c r="K232" s="4" t="n">
        <v>25</v>
      </c>
      <c r="L232" s="5" t="n">
        <v>10845</v>
      </c>
      <c r="M232" s="5" t="n">
        <v>1344</v>
      </c>
      <c r="N232" s="4" t="n">
        <v>48</v>
      </c>
      <c r="O232" s="6" t="n">
        <v>0.41</v>
      </c>
      <c r="P232" s="4" t="s">
        <v>21</v>
      </c>
      <c r="Q232" s="4" t="s">
        <v>22</v>
      </c>
    </row>
    <row r="233" customFormat="false" ht="15" hidden="false" customHeight="false" outlineLevel="0" collapsed="false">
      <c r="A233" s="3" t="n">
        <v>46261</v>
      </c>
      <c r="B233" s="4" t="s">
        <v>273</v>
      </c>
      <c r="C233" s="4" t="s">
        <v>18</v>
      </c>
      <c r="D233" s="4" t="s">
        <v>34</v>
      </c>
      <c r="E233" s="4" t="s">
        <v>44</v>
      </c>
      <c r="F233" s="5" t="n">
        <v>3379</v>
      </c>
      <c r="G233" s="5" t="n">
        <v>3308</v>
      </c>
      <c r="H233" s="5" t="n">
        <v>76</v>
      </c>
      <c r="I233" s="5" t="n">
        <v>480</v>
      </c>
      <c r="J233" s="5" t="n">
        <v>0</v>
      </c>
      <c r="K233" s="4" t="n">
        <v>8</v>
      </c>
      <c r="L233" s="5" t="n">
        <v>3399</v>
      </c>
      <c r="M233" s="5" t="n">
        <v>2100</v>
      </c>
      <c r="N233" s="4" t="n">
        <v>48</v>
      </c>
      <c r="O233" s="6" t="n">
        <v>2.38</v>
      </c>
      <c r="P233" s="4" t="s">
        <v>32</v>
      </c>
      <c r="Q233" s="4" t="s">
        <v>22</v>
      </c>
    </row>
    <row r="234" customFormat="false" ht="15" hidden="false" customHeight="false" outlineLevel="0" collapsed="false">
      <c r="A234" s="3" t="n">
        <v>46262</v>
      </c>
      <c r="B234" s="4" t="s">
        <v>274</v>
      </c>
      <c r="C234" s="4" t="s">
        <v>24</v>
      </c>
      <c r="D234" s="4" t="s">
        <v>19</v>
      </c>
      <c r="E234" s="4" t="s">
        <v>20</v>
      </c>
      <c r="F234" s="5" t="n">
        <v>3802</v>
      </c>
      <c r="G234" s="5" t="n">
        <v>3355</v>
      </c>
      <c r="H234" s="5" t="n">
        <v>52</v>
      </c>
      <c r="I234" s="5" t="n">
        <v>480</v>
      </c>
      <c r="J234" s="5" t="n">
        <v>58</v>
      </c>
      <c r="K234" s="4" t="n">
        <v>9</v>
      </c>
      <c r="L234" s="5" t="n">
        <v>3511</v>
      </c>
      <c r="M234" s="5" t="n">
        <v>1376</v>
      </c>
      <c r="N234" s="4" t="n">
        <v>48</v>
      </c>
      <c r="O234" s="6" t="n">
        <v>1.08</v>
      </c>
      <c r="P234" s="4" t="s">
        <v>50</v>
      </c>
      <c r="Q234" s="4" t="s">
        <v>22</v>
      </c>
    </row>
    <row r="235" customFormat="false" ht="15" hidden="false" customHeight="false" outlineLevel="0" collapsed="false">
      <c r="A235" s="3" t="n">
        <v>46262</v>
      </c>
      <c r="B235" s="4" t="s">
        <v>275</v>
      </c>
      <c r="C235" s="4" t="s">
        <v>29</v>
      </c>
      <c r="D235" s="4" t="s">
        <v>25</v>
      </c>
      <c r="E235" s="4" t="s">
        <v>26</v>
      </c>
      <c r="F235" s="5" t="n">
        <v>1690</v>
      </c>
      <c r="G235" s="5" t="n">
        <v>1753</v>
      </c>
      <c r="H235" s="5" t="n">
        <v>45</v>
      </c>
      <c r="I235" s="5" t="n">
        <v>480</v>
      </c>
      <c r="J235" s="5" t="n">
        <v>0</v>
      </c>
      <c r="K235" s="4" t="n">
        <v>4</v>
      </c>
      <c r="L235" s="5" t="n">
        <v>1823</v>
      </c>
      <c r="M235" s="5" t="n">
        <v>997</v>
      </c>
      <c r="N235" s="4" t="n">
        <v>48</v>
      </c>
      <c r="O235" s="6" t="n">
        <v>4.69</v>
      </c>
      <c r="P235" s="4" t="s">
        <v>32</v>
      </c>
      <c r="Q235" s="4" t="s">
        <v>22</v>
      </c>
    </row>
    <row r="236" customFormat="false" ht="15" hidden="false" customHeight="false" outlineLevel="0" collapsed="false">
      <c r="A236" s="3" t="n">
        <v>46262</v>
      </c>
      <c r="B236" s="4" t="s">
        <v>276</v>
      </c>
      <c r="C236" s="4" t="s">
        <v>18</v>
      </c>
      <c r="D236" s="4" t="s">
        <v>30</v>
      </c>
      <c r="E236" s="4" t="s">
        <v>31</v>
      </c>
      <c r="F236" s="5" t="n">
        <v>8448</v>
      </c>
      <c r="G236" s="5" t="n">
        <v>7672</v>
      </c>
      <c r="H236" s="5" t="n">
        <v>75</v>
      </c>
      <c r="I236" s="5" t="n">
        <v>480</v>
      </c>
      <c r="J236" s="5" t="n">
        <v>49</v>
      </c>
      <c r="K236" s="4" t="n">
        <v>20</v>
      </c>
      <c r="L236" s="5" t="n">
        <v>8046</v>
      </c>
      <c r="M236" s="5" t="n">
        <v>1238</v>
      </c>
      <c r="N236" s="4" t="n">
        <v>48</v>
      </c>
      <c r="O236" s="6" t="n">
        <v>0.79</v>
      </c>
      <c r="P236" s="4" t="s">
        <v>21</v>
      </c>
      <c r="Q236" s="4" t="s">
        <v>22</v>
      </c>
    </row>
    <row r="237" customFormat="false" ht="15" hidden="false" customHeight="false" outlineLevel="0" collapsed="false">
      <c r="A237" s="3" t="n">
        <v>46262</v>
      </c>
      <c r="B237" s="4" t="s">
        <v>277</v>
      </c>
      <c r="C237" s="4" t="s">
        <v>24</v>
      </c>
      <c r="D237" s="4" t="s">
        <v>34</v>
      </c>
      <c r="E237" s="4" t="s">
        <v>35</v>
      </c>
      <c r="F237" s="5" t="n">
        <v>2112</v>
      </c>
      <c r="G237" s="5" t="n">
        <v>2118</v>
      </c>
      <c r="H237" s="5" t="n">
        <v>84</v>
      </c>
      <c r="I237" s="5" t="n">
        <v>480</v>
      </c>
      <c r="J237" s="5" t="n">
        <v>36</v>
      </c>
      <c r="K237" s="4" t="n">
        <v>5</v>
      </c>
      <c r="L237" s="5" t="n">
        <v>2213</v>
      </c>
      <c r="M237" s="5" t="n">
        <v>1123</v>
      </c>
      <c r="N237" s="4" t="n">
        <v>48</v>
      </c>
      <c r="O237" s="6" t="n">
        <v>3.07</v>
      </c>
      <c r="P237" s="4" t="s">
        <v>65</v>
      </c>
      <c r="Q237" s="4" t="s">
        <v>22</v>
      </c>
    </row>
    <row r="238" customFormat="false" ht="15" hidden="false" customHeight="false" outlineLevel="0" collapsed="false">
      <c r="A238" s="3" t="n">
        <v>46263</v>
      </c>
      <c r="B238" s="4" t="s">
        <v>278</v>
      </c>
      <c r="C238" s="4" t="s">
        <v>29</v>
      </c>
      <c r="D238" s="4" t="s">
        <v>19</v>
      </c>
      <c r="E238" s="4" t="s">
        <v>37</v>
      </c>
      <c r="F238" s="5" t="n">
        <v>2534</v>
      </c>
      <c r="G238" s="5" t="n">
        <v>2336</v>
      </c>
      <c r="H238" s="5" t="n">
        <v>71</v>
      </c>
      <c r="I238" s="5" t="n">
        <v>480</v>
      </c>
      <c r="J238" s="5" t="n">
        <v>59</v>
      </c>
      <c r="K238" s="4" t="n">
        <v>6</v>
      </c>
      <c r="L238" s="5" t="n">
        <v>2436</v>
      </c>
      <c r="M238" s="5" t="n">
        <v>1487</v>
      </c>
      <c r="N238" s="4" t="n">
        <v>48</v>
      </c>
      <c r="O238" s="6" t="n">
        <v>2.22</v>
      </c>
      <c r="P238" s="4" t="s">
        <v>50</v>
      </c>
      <c r="Q238" s="4" t="s">
        <v>22</v>
      </c>
    </row>
    <row r="239" customFormat="false" ht="15" hidden="false" customHeight="false" outlineLevel="0" collapsed="false">
      <c r="A239" s="3" t="n">
        <v>46263</v>
      </c>
      <c r="B239" s="4" t="s">
        <v>279</v>
      </c>
      <c r="C239" s="4" t="s">
        <v>18</v>
      </c>
      <c r="D239" s="4" t="s">
        <v>25</v>
      </c>
      <c r="E239" s="4" t="s">
        <v>40</v>
      </c>
      <c r="F239" s="5" t="n">
        <v>5069</v>
      </c>
      <c r="G239" s="5" t="n">
        <v>5275</v>
      </c>
      <c r="H239" s="5" t="n">
        <v>75</v>
      </c>
      <c r="I239" s="5" t="n">
        <v>480</v>
      </c>
      <c r="J239" s="5" t="n">
        <v>0</v>
      </c>
      <c r="K239" s="4" t="n">
        <v>12</v>
      </c>
      <c r="L239" s="5" t="n">
        <v>5439</v>
      </c>
      <c r="M239" s="5" t="n">
        <v>1489</v>
      </c>
      <c r="N239" s="4" t="n">
        <v>48</v>
      </c>
      <c r="O239" s="6" t="n">
        <v>1.35</v>
      </c>
      <c r="P239" s="4" t="s">
        <v>32</v>
      </c>
      <c r="Q239" s="4" t="s">
        <v>22</v>
      </c>
    </row>
    <row r="240" customFormat="false" ht="15" hidden="false" customHeight="false" outlineLevel="0" collapsed="false">
      <c r="A240" s="3" t="n">
        <v>46263</v>
      </c>
      <c r="B240" s="4" t="s">
        <v>280</v>
      </c>
      <c r="C240" s="4" t="s">
        <v>24</v>
      </c>
      <c r="D240" s="4" t="s">
        <v>30</v>
      </c>
      <c r="E240" s="4" t="s">
        <v>42</v>
      </c>
      <c r="F240" s="5" t="n">
        <v>10560</v>
      </c>
      <c r="G240" s="5" t="n">
        <v>10431</v>
      </c>
      <c r="H240" s="5" t="n">
        <v>123</v>
      </c>
      <c r="I240" s="5" t="n">
        <v>480</v>
      </c>
      <c r="J240" s="5" t="n">
        <v>0</v>
      </c>
      <c r="K240" s="4" t="n">
        <v>25</v>
      </c>
      <c r="L240" s="5" t="n">
        <v>10741</v>
      </c>
      <c r="M240" s="5" t="n">
        <v>1194</v>
      </c>
      <c r="N240" s="4" t="n">
        <v>48</v>
      </c>
      <c r="O240" s="6" t="n">
        <v>0.42</v>
      </c>
      <c r="P240" s="4" t="s">
        <v>32</v>
      </c>
      <c r="Q240" s="4" t="s">
        <v>22</v>
      </c>
    </row>
    <row r="241" customFormat="false" ht="15" hidden="false" customHeight="false" outlineLevel="0" collapsed="false">
      <c r="A241" s="3" t="n">
        <v>46263</v>
      </c>
      <c r="B241" s="4" t="s">
        <v>281</v>
      </c>
      <c r="C241" s="4" t="s">
        <v>29</v>
      </c>
      <c r="D241" s="4" t="s">
        <v>34</v>
      </c>
      <c r="E241" s="4" t="s">
        <v>44</v>
      </c>
      <c r="F241" s="5" t="n">
        <v>3379</v>
      </c>
      <c r="G241" s="5" t="n">
        <v>3298</v>
      </c>
      <c r="H241" s="5" t="n">
        <v>144</v>
      </c>
      <c r="I241" s="5" t="n">
        <v>480</v>
      </c>
      <c r="J241" s="5" t="n">
        <v>0</v>
      </c>
      <c r="K241" s="4" t="n">
        <v>8</v>
      </c>
      <c r="L241" s="5" t="n">
        <v>3440</v>
      </c>
      <c r="M241" s="5" t="n">
        <v>2336</v>
      </c>
      <c r="N241" s="4" t="n">
        <v>48</v>
      </c>
      <c r="O241" s="6" t="n">
        <v>2.37</v>
      </c>
      <c r="P241" s="4" t="s">
        <v>32</v>
      </c>
      <c r="Q241" s="4" t="s">
        <v>22</v>
      </c>
    </row>
    <row r="242" customFormat="false" ht="15" hidden="false" customHeight="false" outlineLevel="0" collapsed="false">
      <c r="A242" s="3" t="n">
        <v>46264</v>
      </c>
      <c r="B242" s="4" t="s">
        <v>282</v>
      </c>
      <c r="C242" s="4" t="s">
        <v>18</v>
      </c>
      <c r="D242" s="4" t="s">
        <v>19</v>
      </c>
      <c r="E242" s="4" t="s">
        <v>20</v>
      </c>
      <c r="F242" s="5" t="n">
        <v>3802</v>
      </c>
      <c r="G242" s="5" t="n">
        <v>3133</v>
      </c>
      <c r="H242" s="5" t="n">
        <v>86</v>
      </c>
      <c r="I242" s="5" t="n">
        <v>480</v>
      </c>
      <c r="J242" s="5" t="n">
        <v>115</v>
      </c>
      <c r="K242" s="4" t="n">
        <v>9</v>
      </c>
      <c r="L242" s="5" t="n">
        <v>3221</v>
      </c>
      <c r="M242" s="5" t="n">
        <v>1551</v>
      </c>
      <c r="N242" s="4" t="n">
        <v>48</v>
      </c>
      <c r="O242" s="6" t="n">
        <v>1.08</v>
      </c>
      <c r="P242" s="4" t="s">
        <v>21</v>
      </c>
      <c r="Q242" s="4" t="s">
        <v>22</v>
      </c>
    </row>
    <row r="243" customFormat="false" ht="15" hidden="false" customHeight="false" outlineLevel="0" collapsed="false">
      <c r="A243" s="3" t="n">
        <v>46264</v>
      </c>
      <c r="B243" s="4" t="s">
        <v>283</v>
      </c>
      <c r="C243" s="4" t="s">
        <v>24</v>
      </c>
      <c r="D243" s="4" t="s">
        <v>25</v>
      </c>
      <c r="E243" s="4" t="s">
        <v>26</v>
      </c>
      <c r="F243" s="5" t="n">
        <v>1690</v>
      </c>
      <c r="G243" s="5" t="n">
        <v>1666</v>
      </c>
      <c r="H243" s="5" t="n">
        <v>51</v>
      </c>
      <c r="I243" s="5" t="n">
        <v>480</v>
      </c>
      <c r="J243" s="5" t="n">
        <v>25</v>
      </c>
      <c r="K243" s="4" t="n">
        <v>4</v>
      </c>
      <c r="L243" s="5" t="n">
        <v>1724</v>
      </c>
      <c r="M243" s="5" t="n">
        <v>922</v>
      </c>
      <c r="N243" s="4" t="n">
        <v>48</v>
      </c>
      <c r="O243" s="6" t="n">
        <v>4.7</v>
      </c>
      <c r="P243" s="4" t="s">
        <v>69</v>
      </c>
      <c r="Q243" s="4" t="s">
        <v>22</v>
      </c>
    </row>
    <row r="244" customFormat="false" ht="15" hidden="false" customHeight="false" outlineLevel="0" collapsed="false">
      <c r="A244" s="3" t="n">
        <v>46264</v>
      </c>
      <c r="B244" s="4" t="s">
        <v>284</v>
      </c>
      <c r="C244" s="4" t="s">
        <v>29</v>
      </c>
      <c r="D244" s="4" t="s">
        <v>30</v>
      </c>
      <c r="E244" s="4" t="s">
        <v>31</v>
      </c>
      <c r="F244" s="5" t="n">
        <v>8448</v>
      </c>
      <c r="G244" s="5" t="n">
        <v>8312</v>
      </c>
      <c r="H244" s="5" t="n">
        <v>146</v>
      </c>
      <c r="I244" s="5" t="n">
        <v>480</v>
      </c>
      <c r="J244" s="5" t="n">
        <v>37</v>
      </c>
      <c r="K244" s="4" t="n">
        <v>20</v>
      </c>
      <c r="L244" s="5" t="n">
        <v>8694</v>
      </c>
      <c r="M244" s="5" t="n">
        <v>1350</v>
      </c>
      <c r="N244" s="4" t="n">
        <v>48</v>
      </c>
      <c r="O244" s="6" t="n">
        <v>0.77</v>
      </c>
      <c r="P244" s="4" t="s">
        <v>21</v>
      </c>
      <c r="Q244" s="4" t="s">
        <v>22</v>
      </c>
    </row>
    <row r="245" customFormat="false" ht="15" hidden="false" customHeight="false" outlineLevel="0" collapsed="false">
      <c r="A245" s="3" t="n">
        <v>46264</v>
      </c>
      <c r="B245" s="4" t="s">
        <v>285</v>
      </c>
      <c r="C245" s="4" t="s">
        <v>18</v>
      </c>
      <c r="D245" s="4" t="s">
        <v>34</v>
      </c>
      <c r="E245" s="4" t="s">
        <v>35</v>
      </c>
      <c r="F245" s="5" t="n">
        <v>2112</v>
      </c>
      <c r="G245" s="5" t="n">
        <v>2025</v>
      </c>
      <c r="H245" s="5" t="n">
        <v>96</v>
      </c>
      <c r="I245" s="5" t="n">
        <v>480</v>
      </c>
      <c r="J245" s="5" t="n">
        <v>23</v>
      </c>
      <c r="K245" s="4" t="n">
        <v>5</v>
      </c>
      <c r="L245" s="5" t="n">
        <v>2105</v>
      </c>
      <c r="M245" s="5" t="n">
        <v>1095</v>
      </c>
      <c r="N245" s="4" t="n">
        <v>48</v>
      </c>
      <c r="O245" s="6" t="n">
        <v>3.03</v>
      </c>
      <c r="P245" s="4" t="s">
        <v>21</v>
      </c>
      <c r="Q245" s="4" t="s">
        <v>22</v>
      </c>
    </row>
    <row r="246" customFormat="false" ht="15" hidden="false" customHeight="false" outlineLevel="0" collapsed="false">
      <c r="A246" s="3" t="n">
        <v>46265</v>
      </c>
      <c r="B246" s="4" t="s">
        <v>286</v>
      </c>
      <c r="C246" s="4" t="s">
        <v>24</v>
      </c>
      <c r="D246" s="4" t="s">
        <v>19</v>
      </c>
      <c r="E246" s="4" t="s">
        <v>37</v>
      </c>
      <c r="F246" s="5" t="n">
        <v>2534</v>
      </c>
      <c r="G246" s="5" t="n">
        <v>2266</v>
      </c>
      <c r="H246" s="5" t="n">
        <v>78</v>
      </c>
      <c r="I246" s="5" t="n">
        <v>480</v>
      </c>
      <c r="J246" s="5" t="n">
        <v>72</v>
      </c>
      <c r="K246" s="4" t="n">
        <v>6</v>
      </c>
      <c r="L246" s="5" t="n">
        <v>2337</v>
      </c>
      <c r="M246" s="5" t="n">
        <v>1447</v>
      </c>
      <c r="N246" s="4" t="n">
        <v>48</v>
      </c>
      <c r="O246" s="6" t="n">
        <v>2.22</v>
      </c>
      <c r="P246" s="4" t="s">
        <v>50</v>
      </c>
      <c r="Q246" s="4" t="s">
        <v>22</v>
      </c>
    </row>
    <row r="247" customFormat="false" ht="15" hidden="false" customHeight="false" outlineLevel="0" collapsed="false">
      <c r="A247" s="3" t="n">
        <v>46265</v>
      </c>
      <c r="B247" s="4" t="s">
        <v>287</v>
      </c>
      <c r="C247" s="4" t="s">
        <v>29</v>
      </c>
      <c r="D247" s="4" t="s">
        <v>25</v>
      </c>
      <c r="E247" s="4" t="s">
        <v>40</v>
      </c>
      <c r="F247" s="5" t="n">
        <v>5069</v>
      </c>
      <c r="G247" s="5" t="n">
        <v>4699</v>
      </c>
      <c r="H247" s="5" t="n">
        <v>133</v>
      </c>
      <c r="I247" s="5" t="n">
        <v>480</v>
      </c>
      <c r="J247" s="5" t="n">
        <v>23</v>
      </c>
      <c r="K247" s="4" t="n">
        <v>12</v>
      </c>
      <c r="L247" s="5" t="n">
        <v>4874</v>
      </c>
      <c r="M247" s="5" t="n">
        <v>1527</v>
      </c>
      <c r="N247" s="4" t="n">
        <v>48</v>
      </c>
      <c r="O247" s="6" t="n">
        <v>1.34</v>
      </c>
      <c r="P247" s="4" t="s">
        <v>55</v>
      </c>
      <c r="Q247" s="4" t="s">
        <v>22</v>
      </c>
    </row>
    <row r="248" customFormat="false" ht="15" hidden="false" customHeight="false" outlineLevel="0" collapsed="false">
      <c r="A248" s="3" t="n">
        <v>46265</v>
      </c>
      <c r="B248" s="4" t="s">
        <v>288</v>
      </c>
      <c r="C248" s="4" t="s">
        <v>18</v>
      </c>
      <c r="D248" s="4" t="s">
        <v>30</v>
      </c>
      <c r="E248" s="4" t="s">
        <v>42</v>
      </c>
      <c r="F248" s="5" t="n">
        <v>10560</v>
      </c>
      <c r="G248" s="5" t="n">
        <v>11072</v>
      </c>
      <c r="H248" s="5" t="n">
        <v>126</v>
      </c>
      <c r="I248" s="5" t="n">
        <v>480</v>
      </c>
      <c r="J248" s="5" t="n">
        <v>16</v>
      </c>
      <c r="K248" s="4" t="n">
        <v>25</v>
      </c>
      <c r="L248" s="5" t="n">
        <v>11560</v>
      </c>
      <c r="M248" s="5" t="n">
        <v>1305</v>
      </c>
      <c r="N248" s="4" t="n">
        <v>48</v>
      </c>
      <c r="O248" s="6" t="n">
        <v>0.42</v>
      </c>
      <c r="P248" s="4" t="s">
        <v>38</v>
      </c>
      <c r="Q248" s="4" t="s">
        <v>22</v>
      </c>
    </row>
    <row r="249" customFormat="false" ht="15" hidden="false" customHeight="false" outlineLevel="0" collapsed="false">
      <c r="A249" s="3" t="n">
        <v>46265</v>
      </c>
      <c r="B249" s="4" t="s">
        <v>289</v>
      </c>
      <c r="C249" s="4" t="s">
        <v>24</v>
      </c>
      <c r="D249" s="4" t="s">
        <v>34</v>
      </c>
      <c r="E249" s="4" t="s">
        <v>44</v>
      </c>
      <c r="F249" s="5" t="n">
        <v>3379</v>
      </c>
      <c r="G249" s="5" t="n">
        <v>3338</v>
      </c>
      <c r="H249" s="5" t="n">
        <v>110</v>
      </c>
      <c r="I249" s="5" t="n">
        <v>480</v>
      </c>
      <c r="J249" s="5" t="n">
        <v>15</v>
      </c>
      <c r="K249" s="4" t="n">
        <v>8</v>
      </c>
      <c r="L249" s="5" t="n">
        <v>3477</v>
      </c>
      <c r="M249" s="5" t="n">
        <v>2391</v>
      </c>
      <c r="N249" s="4" t="n">
        <v>48</v>
      </c>
      <c r="O249" s="6" t="n">
        <v>2.37</v>
      </c>
      <c r="P249" s="4" t="s">
        <v>27</v>
      </c>
      <c r="Q249" s="4" t="s">
        <v>22</v>
      </c>
    </row>
    <row r="250" customFormat="false" ht="15" hidden="false" customHeight="false" outlineLevel="0" collapsed="false">
      <c r="A250" s="3" t="n">
        <v>46266</v>
      </c>
      <c r="B250" s="4" t="s">
        <v>290</v>
      </c>
      <c r="C250" s="4" t="s">
        <v>29</v>
      </c>
      <c r="D250" s="4" t="s">
        <v>19</v>
      </c>
      <c r="E250" s="4" t="s">
        <v>20</v>
      </c>
      <c r="F250" s="5" t="n">
        <v>3802</v>
      </c>
      <c r="G250" s="5" t="n">
        <v>3536</v>
      </c>
      <c r="H250" s="5" t="n">
        <v>70</v>
      </c>
      <c r="I250" s="5" t="n">
        <v>480</v>
      </c>
      <c r="J250" s="5" t="n">
        <v>40</v>
      </c>
      <c r="K250" s="4" t="n">
        <v>9</v>
      </c>
      <c r="L250" s="5" t="n">
        <v>3711</v>
      </c>
      <c r="M250" s="5" t="n">
        <v>1438</v>
      </c>
      <c r="N250" s="4" t="n">
        <v>48</v>
      </c>
      <c r="O250" s="6" t="n">
        <v>1.13</v>
      </c>
      <c r="P250" s="4" t="s">
        <v>21</v>
      </c>
      <c r="Q250" s="4" t="s">
        <v>22</v>
      </c>
    </row>
    <row r="251" customFormat="false" ht="15" hidden="false" customHeight="false" outlineLevel="0" collapsed="false">
      <c r="A251" s="3" t="n">
        <v>46266</v>
      </c>
      <c r="B251" s="4" t="s">
        <v>291</v>
      </c>
      <c r="C251" s="4" t="s">
        <v>18</v>
      </c>
      <c r="D251" s="4" t="s">
        <v>25</v>
      </c>
      <c r="E251" s="4" t="s">
        <v>26</v>
      </c>
      <c r="F251" s="5" t="n">
        <v>1690</v>
      </c>
      <c r="G251" s="5" t="n">
        <v>1826</v>
      </c>
      <c r="H251" s="5" t="n">
        <v>31</v>
      </c>
      <c r="I251" s="5" t="n">
        <v>480</v>
      </c>
      <c r="J251" s="5" t="n">
        <v>0</v>
      </c>
      <c r="K251" s="4" t="n">
        <v>4</v>
      </c>
      <c r="L251" s="5" t="n">
        <v>1876</v>
      </c>
      <c r="M251" s="5" t="n">
        <v>934</v>
      </c>
      <c r="N251" s="4" t="n">
        <v>48</v>
      </c>
      <c r="O251" s="6" t="n">
        <v>4.79</v>
      </c>
      <c r="P251" s="4" t="s">
        <v>32</v>
      </c>
      <c r="Q251" s="4" t="s">
        <v>22</v>
      </c>
    </row>
    <row r="252" customFormat="false" ht="15" hidden="false" customHeight="false" outlineLevel="0" collapsed="false">
      <c r="A252" s="3" t="n">
        <v>46266</v>
      </c>
      <c r="B252" s="4" t="s">
        <v>292</v>
      </c>
      <c r="C252" s="4" t="s">
        <v>24</v>
      </c>
      <c r="D252" s="4" t="s">
        <v>30</v>
      </c>
      <c r="E252" s="4" t="s">
        <v>31</v>
      </c>
      <c r="F252" s="5" t="n">
        <v>8448</v>
      </c>
      <c r="G252" s="5" t="n">
        <v>8513</v>
      </c>
      <c r="H252" s="5" t="n">
        <v>117</v>
      </c>
      <c r="I252" s="5" t="n">
        <v>480</v>
      </c>
      <c r="J252" s="5" t="n">
        <v>0</v>
      </c>
      <c r="K252" s="4" t="n">
        <v>20</v>
      </c>
      <c r="L252" s="5" t="n">
        <v>8805</v>
      </c>
      <c r="M252" s="5" t="n">
        <v>1253</v>
      </c>
      <c r="N252" s="4" t="n">
        <v>48</v>
      </c>
      <c r="O252" s="6" t="n">
        <v>0.8</v>
      </c>
      <c r="P252" s="4" t="s">
        <v>32</v>
      </c>
      <c r="Q252" s="4" t="s">
        <v>22</v>
      </c>
    </row>
    <row r="253" customFormat="false" ht="15" hidden="false" customHeight="false" outlineLevel="0" collapsed="false">
      <c r="A253" s="3" t="n">
        <v>46266</v>
      </c>
      <c r="B253" s="4" t="s">
        <v>293</v>
      </c>
      <c r="C253" s="4" t="s">
        <v>29</v>
      </c>
      <c r="D253" s="4" t="s">
        <v>34</v>
      </c>
      <c r="E253" s="4" t="s">
        <v>35</v>
      </c>
      <c r="F253" s="5" t="n">
        <v>2112</v>
      </c>
      <c r="G253" s="5" t="n">
        <v>1942</v>
      </c>
      <c r="H253" s="5" t="n">
        <v>157</v>
      </c>
      <c r="I253" s="5" t="n">
        <v>480</v>
      </c>
      <c r="J253" s="5" t="n">
        <v>51</v>
      </c>
      <c r="K253" s="4" t="n">
        <v>5</v>
      </c>
      <c r="L253" s="5" t="n">
        <v>2027</v>
      </c>
      <c r="M253" s="5" t="n">
        <v>1030</v>
      </c>
      <c r="N253" s="4" t="n">
        <v>48</v>
      </c>
      <c r="O253" s="6" t="n">
        <v>3.16</v>
      </c>
      <c r="P253" s="4" t="s">
        <v>38</v>
      </c>
      <c r="Q253" s="4" t="s">
        <v>22</v>
      </c>
    </row>
    <row r="254" customFormat="false" ht="15" hidden="false" customHeight="false" outlineLevel="0" collapsed="false">
      <c r="A254" s="3" t="n">
        <v>46267</v>
      </c>
      <c r="B254" s="4" t="s">
        <v>294</v>
      </c>
      <c r="C254" s="4" t="s">
        <v>18</v>
      </c>
      <c r="D254" s="4" t="s">
        <v>19</v>
      </c>
      <c r="E254" s="4" t="s">
        <v>37</v>
      </c>
      <c r="F254" s="5" t="n">
        <v>2534</v>
      </c>
      <c r="G254" s="5" t="n">
        <v>2539</v>
      </c>
      <c r="H254" s="5" t="n">
        <v>72</v>
      </c>
      <c r="I254" s="5" t="n">
        <v>480</v>
      </c>
      <c r="J254" s="5" t="n">
        <v>15</v>
      </c>
      <c r="K254" s="4" t="n">
        <v>6</v>
      </c>
      <c r="L254" s="5" t="n">
        <v>2652</v>
      </c>
      <c r="M254" s="5" t="n">
        <v>1543</v>
      </c>
      <c r="N254" s="4" t="n">
        <v>48</v>
      </c>
      <c r="O254" s="6" t="n">
        <v>2.27</v>
      </c>
      <c r="P254" s="4" t="s">
        <v>21</v>
      </c>
      <c r="Q254" s="4" t="s">
        <v>22</v>
      </c>
    </row>
    <row r="255" customFormat="false" ht="15" hidden="false" customHeight="false" outlineLevel="0" collapsed="false">
      <c r="A255" s="3" t="n">
        <v>46267</v>
      </c>
      <c r="B255" s="4" t="s">
        <v>295</v>
      </c>
      <c r="C255" s="4" t="s">
        <v>24</v>
      </c>
      <c r="D255" s="4" t="s">
        <v>25</v>
      </c>
      <c r="E255" s="4" t="s">
        <v>40</v>
      </c>
      <c r="F255" s="5" t="n">
        <v>5069</v>
      </c>
      <c r="G255" s="5" t="n">
        <v>5272</v>
      </c>
      <c r="H255" s="5" t="n">
        <v>138</v>
      </c>
      <c r="I255" s="5" t="n">
        <v>480</v>
      </c>
      <c r="J255" s="5" t="n">
        <v>16</v>
      </c>
      <c r="K255" s="4" t="n">
        <v>12</v>
      </c>
      <c r="L255" s="5" t="n">
        <v>5466</v>
      </c>
      <c r="M255" s="5" t="n">
        <v>1438</v>
      </c>
      <c r="N255" s="4" t="n">
        <v>48</v>
      </c>
      <c r="O255" s="6" t="n">
        <v>1.34</v>
      </c>
      <c r="P255" s="4" t="s">
        <v>21</v>
      </c>
      <c r="Q255" s="4" t="s">
        <v>22</v>
      </c>
    </row>
    <row r="256" customFormat="false" ht="15" hidden="false" customHeight="false" outlineLevel="0" collapsed="false">
      <c r="A256" s="3" t="n">
        <v>46267</v>
      </c>
      <c r="B256" s="4" t="s">
        <v>296</v>
      </c>
      <c r="C256" s="4" t="s">
        <v>29</v>
      </c>
      <c r="D256" s="4" t="s">
        <v>30</v>
      </c>
      <c r="E256" s="4" t="s">
        <v>42</v>
      </c>
      <c r="F256" s="5" t="n">
        <v>10560</v>
      </c>
      <c r="G256" s="5" t="n">
        <v>10756</v>
      </c>
      <c r="H256" s="5" t="n">
        <v>81</v>
      </c>
      <c r="I256" s="5" t="n">
        <v>480</v>
      </c>
      <c r="J256" s="5" t="n">
        <v>0</v>
      </c>
      <c r="K256" s="4" t="n">
        <v>25</v>
      </c>
      <c r="L256" s="5" t="n">
        <v>11275</v>
      </c>
      <c r="M256" s="5" t="n">
        <v>1243</v>
      </c>
      <c r="N256" s="4" t="n">
        <v>48</v>
      </c>
      <c r="O256" s="6" t="n">
        <v>0.44</v>
      </c>
      <c r="P256" s="4" t="s">
        <v>32</v>
      </c>
      <c r="Q256" s="4" t="s">
        <v>22</v>
      </c>
    </row>
    <row r="257" customFormat="false" ht="15" hidden="false" customHeight="false" outlineLevel="0" collapsed="false">
      <c r="A257" s="3" t="n">
        <v>46267</v>
      </c>
      <c r="B257" s="4" t="s">
        <v>297</v>
      </c>
      <c r="C257" s="4" t="s">
        <v>18</v>
      </c>
      <c r="D257" s="4" t="s">
        <v>34</v>
      </c>
      <c r="E257" s="4" t="s">
        <v>44</v>
      </c>
      <c r="F257" s="5" t="n">
        <v>3379</v>
      </c>
      <c r="G257" s="5" t="n">
        <v>3576</v>
      </c>
      <c r="H257" s="5" t="n">
        <v>148</v>
      </c>
      <c r="I257" s="5" t="n">
        <v>480</v>
      </c>
      <c r="J257" s="5" t="n">
        <v>0</v>
      </c>
      <c r="K257" s="4" t="n">
        <v>8</v>
      </c>
      <c r="L257" s="5" t="n">
        <v>3672</v>
      </c>
      <c r="M257" s="5" t="n">
        <v>2451</v>
      </c>
      <c r="N257" s="4" t="n">
        <v>48</v>
      </c>
      <c r="O257" s="6" t="n">
        <v>2.4</v>
      </c>
      <c r="P257" s="4" t="s">
        <v>32</v>
      </c>
      <c r="Q257" s="4" t="s">
        <v>22</v>
      </c>
    </row>
    <row r="258" customFormat="false" ht="15" hidden="false" customHeight="false" outlineLevel="0" collapsed="false">
      <c r="A258" s="3" t="n">
        <v>46268</v>
      </c>
      <c r="B258" s="4" t="s">
        <v>298</v>
      </c>
      <c r="C258" s="4" t="s">
        <v>24</v>
      </c>
      <c r="D258" s="4" t="s">
        <v>19</v>
      </c>
      <c r="E258" s="4" t="s">
        <v>20</v>
      </c>
      <c r="F258" s="5" t="n">
        <v>3802</v>
      </c>
      <c r="G258" s="5" t="n">
        <v>3309</v>
      </c>
      <c r="H258" s="5" t="n">
        <v>47</v>
      </c>
      <c r="I258" s="5" t="n">
        <v>480</v>
      </c>
      <c r="J258" s="5" t="n">
        <v>87</v>
      </c>
      <c r="K258" s="4" t="n">
        <v>9</v>
      </c>
      <c r="L258" s="5" t="n">
        <v>3473</v>
      </c>
      <c r="M258" s="5" t="n">
        <v>1556</v>
      </c>
      <c r="N258" s="4" t="n">
        <v>48</v>
      </c>
      <c r="O258" s="6" t="n">
        <v>1.11</v>
      </c>
      <c r="P258" s="4" t="s">
        <v>50</v>
      </c>
      <c r="Q258" s="4" t="s">
        <v>22</v>
      </c>
    </row>
    <row r="259" customFormat="false" ht="15" hidden="false" customHeight="false" outlineLevel="0" collapsed="false">
      <c r="A259" s="3" t="n">
        <v>46268</v>
      </c>
      <c r="B259" s="4" t="s">
        <v>299</v>
      </c>
      <c r="C259" s="4" t="s">
        <v>29</v>
      </c>
      <c r="D259" s="4" t="s">
        <v>25</v>
      </c>
      <c r="E259" s="4" t="s">
        <v>26</v>
      </c>
      <c r="F259" s="5" t="n">
        <v>1690</v>
      </c>
      <c r="G259" s="5" t="n">
        <v>1538</v>
      </c>
      <c r="H259" s="5" t="n">
        <v>56</v>
      </c>
      <c r="I259" s="5" t="n">
        <v>480</v>
      </c>
      <c r="J259" s="5" t="n">
        <v>40</v>
      </c>
      <c r="K259" s="4" t="n">
        <v>4</v>
      </c>
      <c r="L259" s="5" t="n">
        <v>1613</v>
      </c>
      <c r="M259" s="5" t="n">
        <v>828</v>
      </c>
      <c r="N259" s="4" t="n">
        <v>48</v>
      </c>
      <c r="O259" s="6" t="n">
        <v>4.96</v>
      </c>
      <c r="P259" s="4" t="s">
        <v>38</v>
      </c>
      <c r="Q259" s="4" t="s">
        <v>22</v>
      </c>
    </row>
    <row r="260" customFormat="false" ht="15" hidden="false" customHeight="false" outlineLevel="0" collapsed="false">
      <c r="A260" s="3" t="n">
        <v>46268</v>
      </c>
      <c r="B260" s="4" t="s">
        <v>300</v>
      </c>
      <c r="C260" s="4" t="s">
        <v>18</v>
      </c>
      <c r="D260" s="4" t="s">
        <v>30</v>
      </c>
      <c r="E260" s="4" t="s">
        <v>31</v>
      </c>
      <c r="F260" s="5" t="n">
        <v>8448</v>
      </c>
      <c r="G260" s="5" t="n">
        <v>5535</v>
      </c>
      <c r="H260" s="5" t="n">
        <v>112</v>
      </c>
      <c r="I260" s="5" t="n">
        <v>480</v>
      </c>
      <c r="J260" s="5" t="n">
        <v>171</v>
      </c>
      <c r="K260" s="4" t="n">
        <v>20</v>
      </c>
      <c r="L260" s="5" t="n">
        <v>5733</v>
      </c>
      <c r="M260" s="5" t="n">
        <v>860</v>
      </c>
      <c r="N260" s="4" t="n">
        <v>48</v>
      </c>
      <c r="O260" s="6" t="n">
        <v>0.8</v>
      </c>
      <c r="P260" s="4" t="s">
        <v>50</v>
      </c>
      <c r="Q260" s="4" t="s">
        <v>22</v>
      </c>
    </row>
    <row r="261" customFormat="false" ht="15" hidden="false" customHeight="false" outlineLevel="0" collapsed="false">
      <c r="A261" s="3" t="n">
        <v>46268</v>
      </c>
      <c r="B261" s="4" t="s">
        <v>301</v>
      </c>
      <c r="C261" s="4" t="s">
        <v>24</v>
      </c>
      <c r="D261" s="4" t="s">
        <v>34</v>
      </c>
      <c r="E261" s="4" t="s">
        <v>35</v>
      </c>
      <c r="F261" s="5" t="n">
        <v>2112</v>
      </c>
      <c r="G261" s="5" t="n">
        <v>1797</v>
      </c>
      <c r="H261" s="5" t="n">
        <v>68</v>
      </c>
      <c r="I261" s="5" t="n">
        <v>480</v>
      </c>
      <c r="J261" s="5" t="n">
        <v>66</v>
      </c>
      <c r="K261" s="4" t="n">
        <v>5</v>
      </c>
      <c r="L261" s="5" t="n">
        <v>1874</v>
      </c>
      <c r="M261" s="5" t="n">
        <v>1066</v>
      </c>
      <c r="N261" s="4" t="n">
        <v>48</v>
      </c>
      <c r="O261" s="6" t="n">
        <v>3.23</v>
      </c>
      <c r="P261" s="4" t="s">
        <v>55</v>
      </c>
      <c r="Q261" s="4" t="s">
        <v>22</v>
      </c>
    </row>
    <row r="262" customFormat="false" ht="15" hidden="false" customHeight="false" outlineLevel="0" collapsed="false">
      <c r="A262" s="3" t="n">
        <v>46269</v>
      </c>
      <c r="B262" s="4" t="s">
        <v>302</v>
      </c>
      <c r="C262" s="4" t="s">
        <v>29</v>
      </c>
      <c r="D262" s="4" t="s">
        <v>19</v>
      </c>
      <c r="E262" s="4" t="s">
        <v>37</v>
      </c>
      <c r="F262" s="5" t="n">
        <v>2534</v>
      </c>
      <c r="G262" s="5" t="n">
        <v>2444</v>
      </c>
      <c r="H262" s="5" t="n">
        <v>72</v>
      </c>
      <c r="I262" s="5" t="n">
        <v>480</v>
      </c>
      <c r="J262" s="5" t="n">
        <v>15</v>
      </c>
      <c r="K262" s="4" t="n">
        <v>6</v>
      </c>
      <c r="L262" s="5" t="n">
        <v>2513</v>
      </c>
      <c r="M262" s="5" t="n">
        <v>1375</v>
      </c>
      <c r="N262" s="4" t="n">
        <v>48</v>
      </c>
      <c r="O262" s="6" t="n">
        <v>2.22</v>
      </c>
      <c r="P262" s="4" t="s">
        <v>50</v>
      </c>
      <c r="Q262" s="4" t="s">
        <v>22</v>
      </c>
    </row>
    <row r="263" customFormat="false" ht="15" hidden="false" customHeight="false" outlineLevel="0" collapsed="false">
      <c r="A263" s="3" t="n">
        <v>46269</v>
      </c>
      <c r="B263" s="4" t="s">
        <v>303</v>
      </c>
      <c r="C263" s="4" t="s">
        <v>18</v>
      </c>
      <c r="D263" s="4" t="s">
        <v>25</v>
      </c>
      <c r="E263" s="4" t="s">
        <v>40</v>
      </c>
      <c r="F263" s="5" t="n">
        <v>5069</v>
      </c>
      <c r="G263" s="5" t="n">
        <v>4840</v>
      </c>
      <c r="H263" s="5" t="n">
        <v>104</v>
      </c>
      <c r="I263" s="5" t="n">
        <v>480</v>
      </c>
      <c r="J263" s="5" t="n">
        <v>16</v>
      </c>
      <c r="K263" s="4" t="n">
        <v>12</v>
      </c>
      <c r="L263" s="5" t="n">
        <v>5000</v>
      </c>
      <c r="M263" s="5" t="n">
        <v>1419</v>
      </c>
      <c r="N263" s="4" t="n">
        <v>48</v>
      </c>
      <c r="O263" s="6" t="n">
        <v>1.36</v>
      </c>
      <c r="P263" s="4" t="s">
        <v>50</v>
      </c>
      <c r="Q263" s="4" t="s">
        <v>22</v>
      </c>
    </row>
    <row r="264" customFormat="false" ht="15" hidden="false" customHeight="false" outlineLevel="0" collapsed="false">
      <c r="A264" s="3" t="n">
        <v>46269</v>
      </c>
      <c r="B264" s="4" t="s">
        <v>304</v>
      </c>
      <c r="C264" s="4" t="s">
        <v>24</v>
      </c>
      <c r="D264" s="4" t="s">
        <v>30</v>
      </c>
      <c r="E264" s="4" t="s">
        <v>42</v>
      </c>
      <c r="F264" s="5" t="n">
        <v>10560</v>
      </c>
      <c r="G264" s="5" t="n">
        <v>9363</v>
      </c>
      <c r="H264" s="5" t="n">
        <v>99</v>
      </c>
      <c r="I264" s="5" t="n">
        <v>480</v>
      </c>
      <c r="J264" s="5" t="n">
        <v>89</v>
      </c>
      <c r="K264" s="4" t="n">
        <v>25</v>
      </c>
      <c r="L264" s="5" t="n">
        <v>9637</v>
      </c>
      <c r="M264" s="5" t="n">
        <v>1097</v>
      </c>
      <c r="N264" s="4" t="n">
        <v>48</v>
      </c>
      <c r="O264" s="6" t="n">
        <v>0.41</v>
      </c>
      <c r="P264" s="4" t="s">
        <v>69</v>
      </c>
      <c r="Q264" s="4" t="s">
        <v>22</v>
      </c>
    </row>
    <row r="265" customFormat="false" ht="15" hidden="false" customHeight="false" outlineLevel="0" collapsed="false">
      <c r="A265" s="3" t="n">
        <v>46269</v>
      </c>
      <c r="B265" s="4" t="s">
        <v>305</v>
      </c>
      <c r="C265" s="4" t="s">
        <v>29</v>
      </c>
      <c r="D265" s="4" t="s">
        <v>34</v>
      </c>
      <c r="E265" s="4" t="s">
        <v>44</v>
      </c>
      <c r="F265" s="5" t="n">
        <v>3379</v>
      </c>
      <c r="G265" s="5" t="n">
        <v>3267</v>
      </c>
      <c r="H265" s="5" t="n">
        <v>174</v>
      </c>
      <c r="I265" s="5" t="n">
        <v>480</v>
      </c>
      <c r="J265" s="5" t="n">
        <v>17</v>
      </c>
      <c r="K265" s="4" t="n">
        <v>8</v>
      </c>
      <c r="L265" s="5" t="n">
        <v>3355</v>
      </c>
      <c r="M265" s="5" t="n">
        <v>2282</v>
      </c>
      <c r="N265" s="4" t="n">
        <v>48</v>
      </c>
      <c r="O265" s="6" t="n">
        <v>2.4</v>
      </c>
      <c r="P265" s="4" t="s">
        <v>50</v>
      </c>
      <c r="Q265" s="4" t="s">
        <v>22</v>
      </c>
    </row>
    <row r="266" customFormat="false" ht="15" hidden="false" customHeight="false" outlineLevel="0" collapsed="false">
      <c r="A266" s="3" t="n">
        <v>46270</v>
      </c>
      <c r="B266" s="4" t="s">
        <v>306</v>
      </c>
      <c r="C266" s="4" t="s">
        <v>18</v>
      </c>
      <c r="D266" s="4" t="s">
        <v>19</v>
      </c>
      <c r="E266" s="4" t="s">
        <v>20</v>
      </c>
      <c r="F266" s="5" t="n">
        <v>3802</v>
      </c>
      <c r="G266" s="5" t="n">
        <v>3679</v>
      </c>
      <c r="H266" s="5" t="n">
        <v>100</v>
      </c>
      <c r="I266" s="5" t="n">
        <v>480</v>
      </c>
      <c r="J266" s="5" t="n">
        <v>21</v>
      </c>
      <c r="K266" s="4" t="n">
        <v>9</v>
      </c>
      <c r="L266" s="5" t="n">
        <v>3802</v>
      </c>
      <c r="M266" s="5" t="n">
        <v>1695</v>
      </c>
      <c r="N266" s="4" t="n">
        <v>48</v>
      </c>
      <c r="O266" s="6" t="n">
        <v>1.13</v>
      </c>
      <c r="P266" s="4" t="s">
        <v>21</v>
      </c>
      <c r="Q266" s="4" t="s">
        <v>22</v>
      </c>
    </row>
    <row r="267" customFormat="false" ht="15" hidden="false" customHeight="false" outlineLevel="0" collapsed="false">
      <c r="A267" s="3" t="n">
        <v>46270</v>
      </c>
      <c r="B267" s="4" t="s">
        <v>307</v>
      </c>
      <c r="C267" s="4" t="s">
        <v>24</v>
      </c>
      <c r="D267" s="4" t="s">
        <v>25</v>
      </c>
      <c r="E267" s="4" t="s">
        <v>26</v>
      </c>
      <c r="F267" s="5" t="n">
        <v>1690</v>
      </c>
      <c r="G267" s="5" t="n">
        <v>1494</v>
      </c>
      <c r="H267" s="5" t="n">
        <v>26</v>
      </c>
      <c r="I267" s="5" t="n">
        <v>480</v>
      </c>
      <c r="J267" s="5" t="n">
        <v>90</v>
      </c>
      <c r="K267" s="4" t="n">
        <v>4</v>
      </c>
      <c r="L267" s="5" t="n">
        <v>1543</v>
      </c>
      <c r="M267" s="5" t="n">
        <v>895</v>
      </c>
      <c r="N267" s="4" t="n">
        <v>48</v>
      </c>
      <c r="O267" s="6" t="n">
        <v>4.79</v>
      </c>
      <c r="P267" s="4" t="s">
        <v>38</v>
      </c>
      <c r="Q267" s="4" t="s">
        <v>22</v>
      </c>
    </row>
    <row r="268" customFormat="false" ht="15" hidden="false" customHeight="false" outlineLevel="0" collapsed="false">
      <c r="A268" s="3" t="n">
        <v>46270</v>
      </c>
      <c r="B268" s="4" t="s">
        <v>308</v>
      </c>
      <c r="C268" s="4" t="s">
        <v>29</v>
      </c>
      <c r="D268" s="4" t="s">
        <v>30</v>
      </c>
      <c r="E268" s="4" t="s">
        <v>31</v>
      </c>
      <c r="F268" s="5" t="n">
        <v>8448</v>
      </c>
      <c r="G268" s="5" t="n">
        <v>8994</v>
      </c>
      <c r="H268" s="5" t="n">
        <v>135</v>
      </c>
      <c r="I268" s="5" t="n">
        <v>480</v>
      </c>
      <c r="J268" s="5" t="n">
        <v>0</v>
      </c>
      <c r="K268" s="4" t="n">
        <v>20</v>
      </c>
      <c r="L268" s="5" t="n">
        <v>9375</v>
      </c>
      <c r="M268" s="5" t="n">
        <v>1347</v>
      </c>
      <c r="N268" s="4" t="n">
        <v>48</v>
      </c>
      <c r="O268" s="6" t="n">
        <v>0.8</v>
      </c>
      <c r="P268" s="4" t="s">
        <v>32</v>
      </c>
      <c r="Q268" s="4" t="s">
        <v>22</v>
      </c>
    </row>
    <row r="269" customFormat="false" ht="15" hidden="false" customHeight="false" outlineLevel="0" collapsed="false">
      <c r="A269" s="3" t="n">
        <v>46270</v>
      </c>
      <c r="B269" s="4" t="s">
        <v>309</v>
      </c>
      <c r="C269" s="4" t="s">
        <v>18</v>
      </c>
      <c r="D269" s="4" t="s">
        <v>34</v>
      </c>
      <c r="E269" s="4" t="s">
        <v>35</v>
      </c>
      <c r="F269" s="5" t="n">
        <v>2112</v>
      </c>
      <c r="G269" s="5" t="n">
        <v>1791</v>
      </c>
      <c r="H269" s="5" t="n">
        <v>99</v>
      </c>
      <c r="I269" s="5" t="n">
        <v>480</v>
      </c>
      <c r="J269" s="5" t="n">
        <v>69</v>
      </c>
      <c r="K269" s="4" t="n">
        <v>5</v>
      </c>
      <c r="L269" s="5" t="n">
        <v>1862</v>
      </c>
      <c r="M269" s="5" t="n">
        <v>1044</v>
      </c>
      <c r="N269" s="4" t="n">
        <v>48</v>
      </c>
      <c r="O269" s="6" t="n">
        <v>3.21</v>
      </c>
      <c r="P269" s="4" t="s">
        <v>50</v>
      </c>
      <c r="Q269" s="4" t="s">
        <v>22</v>
      </c>
    </row>
    <row r="270" customFormat="false" ht="15" hidden="false" customHeight="false" outlineLevel="0" collapsed="false">
      <c r="A270" s="3" t="n">
        <v>46271</v>
      </c>
      <c r="B270" s="4" t="s">
        <v>310</v>
      </c>
      <c r="C270" s="4" t="s">
        <v>24</v>
      </c>
      <c r="D270" s="4" t="s">
        <v>19</v>
      </c>
      <c r="E270" s="4" t="s">
        <v>37</v>
      </c>
      <c r="F270" s="5" t="n">
        <v>2534</v>
      </c>
      <c r="G270" s="5" t="n">
        <v>2610</v>
      </c>
      <c r="H270" s="5" t="n">
        <v>91</v>
      </c>
      <c r="I270" s="5" t="n">
        <v>480</v>
      </c>
      <c r="J270" s="5" t="n">
        <v>0</v>
      </c>
      <c r="K270" s="4" t="n">
        <v>6</v>
      </c>
      <c r="L270" s="5" t="n">
        <v>2704</v>
      </c>
      <c r="M270" s="5" t="n">
        <v>1501</v>
      </c>
      <c r="N270" s="4" t="n">
        <v>48</v>
      </c>
      <c r="O270" s="6" t="n">
        <v>2.25</v>
      </c>
      <c r="P270" s="4" t="s">
        <v>32</v>
      </c>
      <c r="Q270" s="4" t="s">
        <v>22</v>
      </c>
    </row>
    <row r="271" customFormat="false" ht="15" hidden="false" customHeight="false" outlineLevel="0" collapsed="false">
      <c r="A271" s="3" t="n">
        <v>46271</v>
      </c>
      <c r="B271" s="4" t="s">
        <v>311</v>
      </c>
      <c r="C271" s="4" t="s">
        <v>29</v>
      </c>
      <c r="D271" s="4" t="s">
        <v>25</v>
      </c>
      <c r="E271" s="4" t="s">
        <v>40</v>
      </c>
      <c r="F271" s="5" t="n">
        <v>5069</v>
      </c>
      <c r="G271" s="5" t="n">
        <v>5074</v>
      </c>
      <c r="H271" s="5" t="n">
        <v>122</v>
      </c>
      <c r="I271" s="5" t="n">
        <v>480</v>
      </c>
      <c r="J271" s="5" t="n">
        <v>0</v>
      </c>
      <c r="K271" s="4" t="n">
        <v>12</v>
      </c>
      <c r="L271" s="5" t="n">
        <v>5281</v>
      </c>
      <c r="M271" s="5" t="n">
        <v>1444</v>
      </c>
      <c r="N271" s="4" t="n">
        <v>48</v>
      </c>
      <c r="O271" s="6" t="n">
        <v>1.39</v>
      </c>
      <c r="P271" s="4" t="s">
        <v>32</v>
      </c>
      <c r="Q271" s="4" t="s">
        <v>22</v>
      </c>
    </row>
    <row r="272" customFormat="false" ht="15" hidden="false" customHeight="false" outlineLevel="0" collapsed="false">
      <c r="A272" s="3" t="n">
        <v>46271</v>
      </c>
      <c r="B272" s="4" t="s">
        <v>312</v>
      </c>
      <c r="C272" s="4" t="s">
        <v>18</v>
      </c>
      <c r="D272" s="4" t="s">
        <v>30</v>
      </c>
      <c r="E272" s="4" t="s">
        <v>42</v>
      </c>
      <c r="F272" s="5" t="n">
        <v>10560</v>
      </c>
      <c r="G272" s="5" t="n">
        <v>10409</v>
      </c>
      <c r="H272" s="5" t="n">
        <v>145</v>
      </c>
      <c r="I272" s="5" t="n">
        <v>480</v>
      </c>
      <c r="J272" s="5" t="n">
        <v>0</v>
      </c>
      <c r="K272" s="4" t="n">
        <v>25</v>
      </c>
      <c r="L272" s="5" t="n">
        <v>10794</v>
      </c>
      <c r="M272" s="5" t="n">
        <v>1224</v>
      </c>
      <c r="N272" s="4" t="n">
        <v>48</v>
      </c>
      <c r="O272" s="6" t="n">
        <v>0.42</v>
      </c>
      <c r="P272" s="4" t="s">
        <v>32</v>
      </c>
      <c r="Q272" s="4" t="s">
        <v>22</v>
      </c>
    </row>
    <row r="273" customFormat="false" ht="15" hidden="false" customHeight="false" outlineLevel="0" collapsed="false">
      <c r="A273" s="3" t="n">
        <v>46271</v>
      </c>
      <c r="B273" s="4" t="s">
        <v>313</v>
      </c>
      <c r="C273" s="4" t="s">
        <v>24</v>
      </c>
      <c r="D273" s="4" t="s">
        <v>34</v>
      </c>
      <c r="E273" s="4" t="s">
        <v>44</v>
      </c>
      <c r="F273" s="5" t="n">
        <v>3379</v>
      </c>
      <c r="G273" s="5" t="n">
        <v>3154</v>
      </c>
      <c r="H273" s="5" t="n">
        <v>187</v>
      </c>
      <c r="I273" s="5" t="n">
        <v>480</v>
      </c>
      <c r="J273" s="5" t="n">
        <v>40</v>
      </c>
      <c r="K273" s="4" t="n">
        <v>8</v>
      </c>
      <c r="L273" s="5" t="n">
        <v>3275</v>
      </c>
      <c r="M273" s="5" t="n">
        <v>2382</v>
      </c>
      <c r="N273" s="4" t="n">
        <v>48</v>
      </c>
      <c r="O273" s="6" t="n">
        <v>2.38</v>
      </c>
      <c r="P273" s="4" t="s">
        <v>55</v>
      </c>
      <c r="Q273" s="4" t="s">
        <v>22</v>
      </c>
    </row>
    <row r="274" customFormat="false" ht="15" hidden="false" customHeight="false" outlineLevel="0" collapsed="false">
      <c r="A274" s="3" t="n">
        <v>46272</v>
      </c>
      <c r="B274" s="4" t="s">
        <v>314</v>
      </c>
      <c r="C274" s="4" t="s">
        <v>29</v>
      </c>
      <c r="D274" s="4" t="s">
        <v>19</v>
      </c>
      <c r="E274" s="4" t="s">
        <v>20</v>
      </c>
      <c r="F274" s="5" t="n">
        <v>3802</v>
      </c>
      <c r="G274" s="5" t="n">
        <v>3428</v>
      </c>
      <c r="H274" s="5" t="n">
        <v>114</v>
      </c>
      <c r="I274" s="5" t="n">
        <v>480</v>
      </c>
      <c r="J274" s="5" t="n">
        <v>29</v>
      </c>
      <c r="K274" s="4" t="n">
        <v>9</v>
      </c>
      <c r="L274" s="5" t="n">
        <v>3572</v>
      </c>
      <c r="M274" s="5" t="n">
        <v>1512</v>
      </c>
      <c r="N274" s="4" t="n">
        <v>48</v>
      </c>
      <c r="O274" s="6" t="n">
        <v>1.13</v>
      </c>
      <c r="P274" s="4" t="s">
        <v>27</v>
      </c>
      <c r="Q274" s="4" t="s">
        <v>22</v>
      </c>
    </row>
    <row r="275" customFormat="false" ht="15" hidden="false" customHeight="false" outlineLevel="0" collapsed="false">
      <c r="A275" s="3" t="n">
        <v>46272</v>
      </c>
      <c r="B275" s="4" t="s">
        <v>315</v>
      </c>
      <c r="C275" s="4" t="s">
        <v>18</v>
      </c>
      <c r="D275" s="4" t="s">
        <v>25</v>
      </c>
      <c r="E275" s="4" t="s">
        <v>26</v>
      </c>
      <c r="F275" s="5" t="n">
        <v>1690</v>
      </c>
      <c r="G275" s="5" t="n">
        <v>1695</v>
      </c>
      <c r="H275" s="5" t="n">
        <v>43</v>
      </c>
      <c r="I275" s="5" t="n">
        <v>480</v>
      </c>
      <c r="J275" s="5" t="n">
        <v>15</v>
      </c>
      <c r="K275" s="4" t="n">
        <v>4</v>
      </c>
      <c r="L275" s="5" t="n">
        <v>1762</v>
      </c>
      <c r="M275" s="5" t="n">
        <v>946</v>
      </c>
      <c r="N275" s="4" t="n">
        <v>48</v>
      </c>
      <c r="O275" s="6" t="n">
        <v>4.86</v>
      </c>
      <c r="P275" s="4" t="s">
        <v>21</v>
      </c>
      <c r="Q275" s="4" t="s">
        <v>22</v>
      </c>
    </row>
    <row r="276" customFormat="false" ht="15" hidden="false" customHeight="false" outlineLevel="0" collapsed="false">
      <c r="A276" s="3" t="n">
        <v>46272</v>
      </c>
      <c r="B276" s="4" t="s">
        <v>316</v>
      </c>
      <c r="C276" s="4" t="s">
        <v>24</v>
      </c>
      <c r="D276" s="4" t="s">
        <v>30</v>
      </c>
      <c r="E276" s="4" t="s">
        <v>31</v>
      </c>
      <c r="F276" s="5" t="n">
        <v>8448</v>
      </c>
      <c r="G276" s="5" t="n">
        <v>8821</v>
      </c>
      <c r="H276" s="5" t="n">
        <v>132</v>
      </c>
      <c r="I276" s="5" t="n">
        <v>480</v>
      </c>
      <c r="J276" s="5" t="n">
        <v>0</v>
      </c>
      <c r="K276" s="4" t="n">
        <v>20</v>
      </c>
      <c r="L276" s="5" t="n">
        <v>9118</v>
      </c>
      <c r="M276" s="5" t="n">
        <v>1197</v>
      </c>
      <c r="N276" s="4" t="n">
        <v>48</v>
      </c>
      <c r="O276" s="6" t="n">
        <v>0.78</v>
      </c>
      <c r="P276" s="4" t="s">
        <v>32</v>
      </c>
      <c r="Q276" s="4" t="s">
        <v>22</v>
      </c>
    </row>
    <row r="277" customFormat="false" ht="15" hidden="false" customHeight="false" outlineLevel="0" collapsed="false">
      <c r="A277" s="3" t="n">
        <v>46272</v>
      </c>
      <c r="B277" s="4" t="s">
        <v>317</v>
      </c>
      <c r="C277" s="4" t="s">
        <v>29</v>
      </c>
      <c r="D277" s="4" t="s">
        <v>34</v>
      </c>
      <c r="E277" s="4" t="s">
        <v>35</v>
      </c>
      <c r="F277" s="5" t="n">
        <v>2112</v>
      </c>
      <c r="G277" s="5" t="n">
        <v>2044</v>
      </c>
      <c r="H277" s="5" t="n">
        <v>174</v>
      </c>
      <c r="I277" s="5" t="n">
        <v>480</v>
      </c>
      <c r="J277" s="5" t="n">
        <v>0</v>
      </c>
      <c r="K277" s="4" t="n">
        <v>5</v>
      </c>
      <c r="L277" s="5" t="n">
        <v>2102</v>
      </c>
      <c r="M277" s="5" t="n">
        <v>1136</v>
      </c>
      <c r="N277" s="4" t="n">
        <v>48</v>
      </c>
      <c r="O277" s="6" t="n">
        <v>3.17</v>
      </c>
      <c r="P277" s="4" t="s">
        <v>32</v>
      </c>
      <c r="Q277" s="4" t="s">
        <v>22</v>
      </c>
    </row>
    <row r="278" customFormat="false" ht="15" hidden="false" customHeight="false" outlineLevel="0" collapsed="false">
      <c r="A278" s="3" t="n">
        <v>46273</v>
      </c>
      <c r="B278" s="4" t="s">
        <v>318</v>
      </c>
      <c r="C278" s="4" t="s">
        <v>18</v>
      </c>
      <c r="D278" s="4" t="s">
        <v>19</v>
      </c>
      <c r="E278" s="4" t="s">
        <v>37</v>
      </c>
      <c r="F278" s="5" t="n">
        <v>2534</v>
      </c>
      <c r="G278" s="5" t="n">
        <v>2482</v>
      </c>
      <c r="H278" s="5" t="n">
        <v>64</v>
      </c>
      <c r="I278" s="5" t="n">
        <v>480</v>
      </c>
      <c r="J278" s="5" t="n">
        <v>35</v>
      </c>
      <c r="K278" s="4" t="n">
        <v>6</v>
      </c>
      <c r="L278" s="5" t="n">
        <v>2563</v>
      </c>
      <c r="M278" s="5" t="n">
        <v>1582</v>
      </c>
      <c r="N278" s="4" t="n">
        <v>48</v>
      </c>
      <c r="O278" s="6" t="n">
        <v>2.17</v>
      </c>
      <c r="P278" s="4" t="s">
        <v>50</v>
      </c>
      <c r="Q278" s="4" t="s">
        <v>22</v>
      </c>
    </row>
    <row r="279" customFormat="false" ht="15" hidden="false" customHeight="false" outlineLevel="0" collapsed="false">
      <c r="A279" s="3" t="n">
        <v>46273</v>
      </c>
      <c r="B279" s="4" t="s">
        <v>319</v>
      </c>
      <c r="C279" s="4" t="s">
        <v>24</v>
      </c>
      <c r="D279" s="4" t="s">
        <v>25</v>
      </c>
      <c r="E279" s="4" t="s">
        <v>40</v>
      </c>
      <c r="F279" s="5" t="n">
        <v>5069</v>
      </c>
      <c r="G279" s="5" t="n">
        <v>4773</v>
      </c>
      <c r="H279" s="5" t="n">
        <v>76</v>
      </c>
      <c r="I279" s="5" t="n">
        <v>480</v>
      </c>
      <c r="J279" s="5" t="n">
        <v>65</v>
      </c>
      <c r="K279" s="4" t="n">
        <v>12</v>
      </c>
      <c r="L279" s="5" t="n">
        <v>4913</v>
      </c>
      <c r="M279" s="5" t="n">
        <v>1335</v>
      </c>
      <c r="N279" s="4" t="n">
        <v>48</v>
      </c>
      <c r="O279" s="6" t="n">
        <v>1.38</v>
      </c>
      <c r="P279" s="4" t="s">
        <v>21</v>
      </c>
      <c r="Q279" s="4" t="s">
        <v>22</v>
      </c>
    </row>
    <row r="280" customFormat="false" ht="15" hidden="false" customHeight="false" outlineLevel="0" collapsed="false">
      <c r="A280" s="3" t="n">
        <v>46273</v>
      </c>
      <c r="B280" s="4" t="s">
        <v>320</v>
      </c>
      <c r="C280" s="4" t="s">
        <v>29</v>
      </c>
      <c r="D280" s="4" t="s">
        <v>30</v>
      </c>
      <c r="E280" s="4" t="s">
        <v>42</v>
      </c>
      <c r="F280" s="5" t="n">
        <v>10560</v>
      </c>
      <c r="G280" s="5" t="n">
        <v>10148</v>
      </c>
      <c r="H280" s="5" t="n">
        <v>115</v>
      </c>
      <c r="I280" s="5" t="n">
        <v>480</v>
      </c>
      <c r="J280" s="5" t="n">
        <v>31</v>
      </c>
      <c r="K280" s="4" t="n">
        <v>25</v>
      </c>
      <c r="L280" s="5" t="n">
        <v>10409</v>
      </c>
      <c r="M280" s="5" t="n">
        <v>1246</v>
      </c>
      <c r="N280" s="4" t="n">
        <v>48</v>
      </c>
      <c r="O280" s="6" t="n">
        <v>0.42</v>
      </c>
      <c r="P280" s="4" t="s">
        <v>21</v>
      </c>
      <c r="Q280" s="4" t="s">
        <v>22</v>
      </c>
    </row>
    <row r="281" customFormat="false" ht="15" hidden="false" customHeight="false" outlineLevel="0" collapsed="false">
      <c r="A281" s="3" t="n">
        <v>46273</v>
      </c>
      <c r="B281" s="4" t="s">
        <v>321</v>
      </c>
      <c r="C281" s="4" t="s">
        <v>18</v>
      </c>
      <c r="D281" s="4" t="s">
        <v>34</v>
      </c>
      <c r="E281" s="4" t="s">
        <v>44</v>
      </c>
      <c r="F281" s="5" t="n">
        <v>3379</v>
      </c>
      <c r="G281" s="5" t="n">
        <v>3187</v>
      </c>
      <c r="H281" s="5" t="n">
        <v>179</v>
      </c>
      <c r="I281" s="5" t="n">
        <v>480</v>
      </c>
      <c r="J281" s="5" t="n">
        <v>54</v>
      </c>
      <c r="K281" s="4" t="n">
        <v>8</v>
      </c>
      <c r="L281" s="5" t="n">
        <v>3272</v>
      </c>
      <c r="M281" s="5" t="n">
        <v>2156</v>
      </c>
      <c r="N281" s="4" t="n">
        <v>48</v>
      </c>
      <c r="O281" s="6" t="n">
        <v>2.49</v>
      </c>
      <c r="P281" s="4" t="s">
        <v>21</v>
      </c>
      <c r="Q281" s="4" t="s">
        <v>22</v>
      </c>
    </row>
    <row r="282" customFormat="false" ht="15" hidden="false" customHeight="false" outlineLevel="0" collapsed="false">
      <c r="A282" s="3" t="n">
        <v>46274</v>
      </c>
      <c r="B282" s="4" t="s">
        <v>322</v>
      </c>
      <c r="C282" s="4" t="s">
        <v>24</v>
      </c>
      <c r="D282" s="4" t="s">
        <v>19</v>
      </c>
      <c r="E282" s="4" t="s">
        <v>20</v>
      </c>
      <c r="F282" s="5" t="n">
        <v>3802</v>
      </c>
      <c r="G282" s="5" t="n">
        <v>3798</v>
      </c>
      <c r="H282" s="5" t="n">
        <v>78</v>
      </c>
      <c r="I282" s="5" t="n">
        <v>480</v>
      </c>
      <c r="J282" s="5" t="n">
        <v>34</v>
      </c>
      <c r="K282" s="4" t="n">
        <v>9</v>
      </c>
      <c r="L282" s="5" t="n">
        <v>3954</v>
      </c>
      <c r="M282" s="5" t="n">
        <v>1742</v>
      </c>
      <c r="N282" s="4" t="n">
        <v>48</v>
      </c>
      <c r="O282" s="6" t="n">
        <v>1.12</v>
      </c>
      <c r="P282" s="4" t="s">
        <v>21</v>
      </c>
      <c r="Q282" s="4" t="s">
        <v>22</v>
      </c>
    </row>
    <row r="283" customFormat="false" ht="15" hidden="false" customHeight="false" outlineLevel="0" collapsed="false">
      <c r="A283" s="3" t="n">
        <v>46274</v>
      </c>
      <c r="B283" s="4" t="s">
        <v>323</v>
      </c>
      <c r="C283" s="4" t="s">
        <v>29</v>
      </c>
      <c r="D283" s="4" t="s">
        <v>25</v>
      </c>
      <c r="E283" s="4" t="s">
        <v>26</v>
      </c>
      <c r="F283" s="5" t="n">
        <v>1690</v>
      </c>
      <c r="G283" s="5" t="n">
        <v>1408</v>
      </c>
      <c r="H283" s="5" t="n">
        <v>49</v>
      </c>
      <c r="I283" s="5" t="n">
        <v>480</v>
      </c>
      <c r="J283" s="5" t="n">
        <v>98</v>
      </c>
      <c r="K283" s="4" t="n">
        <v>4</v>
      </c>
      <c r="L283" s="5" t="n">
        <v>1454</v>
      </c>
      <c r="M283" s="5" t="n">
        <v>792</v>
      </c>
      <c r="N283" s="4" t="n">
        <v>48</v>
      </c>
      <c r="O283" s="6" t="n">
        <v>4.75</v>
      </c>
      <c r="P283" s="4" t="s">
        <v>27</v>
      </c>
      <c r="Q283" s="4" t="s">
        <v>22</v>
      </c>
    </row>
    <row r="284" customFormat="false" ht="15" hidden="false" customHeight="false" outlineLevel="0" collapsed="false">
      <c r="A284" s="3" t="n">
        <v>46274</v>
      </c>
      <c r="B284" s="4" t="s">
        <v>324</v>
      </c>
      <c r="C284" s="4" t="s">
        <v>18</v>
      </c>
      <c r="D284" s="4" t="s">
        <v>30</v>
      </c>
      <c r="E284" s="4" t="s">
        <v>31</v>
      </c>
      <c r="F284" s="5" t="n">
        <v>8448</v>
      </c>
      <c r="G284" s="5" t="n">
        <v>8438</v>
      </c>
      <c r="H284" s="5" t="n">
        <v>128</v>
      </c>
      <c r="I284" s="5" t="n">
        <v>480</v>
      </c>
      <c r="J284" s="5" t="n">
        <v>26</v>
      </c>
      <c r="K284" s="4" t="n">
        <v>20</v>
      </c>
      <c r="L284" s="5" t="n">
        <v>8737</v>
      </c>
      <c r="M284" s="5" t="n">
        <v>1174</v>
      </c>
      <c r="N284" s="4" t="n">
        <v>48</v>
      </c>
      <c r="O284" s="6" t="n">
        <v>0.79</v>
      </c>
      <c r="P284" s="4" t="s">
        <v>21</v>
      </c>
      <c r="Q284" s="4" t="s">
        <v>22</v>
      </c>
    </row>
    <row r="285" customFormat="false" ht="15" hidden="false" customHeight="false" outlineLevel="0" collapsed="false">
      <c r="A285" s="3" t="n">
        <v>46274</v>
      </c>
      <c r="B285" s="4" t="s">
        <v>325</v>
      </c>
      <c r="C285" s="4" t="s">
        <v>24</v>
      </c>
      <c r="D285" s="4" t="s">
        <v>34</v>
      </c>
      <c r="E285" s="4" t="s">
        <v>35</v>
      </c>
      <c r="F285" s="5" t="n">
        <v>2112</v>
      </c>
      <c r="G285" s="5" t="n">
        <v>2054</v>
      </c>
      <c r="H285" s="5" t="n">
        <v>113</v>
      </c>
      <c r="I285" s="5" t="n">
        <v>480</v>
      </c>
      <c r="J285" s="5" t="n">
        <v>52</v>
      </c>
      <c r="K285" s="4" t="n">
        <v>5</v>
      </c>
      <c r="L285" s="5" t="n">
        <v>2130</v>
      </c>
      <c r="M285" s="5" t="n">
        <v>1101</v>
      </c>
      <c r="N285" s="4" t="n">
        <v>48</v>
      </c>
      <c r="O285" s="6" t="n">
        <v>3.14</v>
      </c>
      <c r="P285" s="4" t="s">
        <v>27</v>
      </c>
      <c r="Q285" s="4" t="s">
        <v>22</v>
      </c>
    </row>
    <row r="286" customFormat="false" ht="15" hidden="false" customHeight="false" outlineLevel="0" collapsed="false">
      <c r="A286" s="3" t="n">
        <v>46275</v>
      </c>
      <c r="B286" s="4" t="s">
        <v>326</v>
      </c>
      <c r="C286" s="4" t="s">
        <v>29</v>
      </c>
      <c r="D286" s="4" t="s">
        <v>19</v>
      </c>
      <c r="E286" s="4" t="s">
        <v>37</v>
      </c>
      <c r="F286" s="5" t="n">
        <v>2534</v>
      </c>
      <c r="G286" s="5" t="n">
        <v>2310</v>
      </c>
      <c r="H286" s="5" t="n">
        <v>104</v>
      </c>
      <c r="I286" s="5" t="n">
        <v>480</v>
      </c>
      <c r="J286" s="5" t="n">
        <v>29</v>
      </c>
      <c r="K286" s="4" t="n">
        <v>6</v>
      </c>
      <c r="L286" s="5" t="n">
        <v>2423</v>
      </c>
      <c r="M286" s="5" t="n">
        <v>1388</v>
      </c>
      <c r="N286" s="4" t="n">
        <v>48</v>
      </c>
      <c r="O286" s="6" t="n">
        <v>2.23</v>
      </c>
      <c r="P286" s="4" t="s">
        <v>21</v>
      </c>
      <c r="Q286" s="4" t="s">
        <v>22</v>
      </c>
    </row>
    <row r="287" customFormat="false" ht="15" hidden="false" customHeight="false" outlineLevel="0" collapsed="false">
      <c r="A287" s="3" t="n">
        <v>46275</v>
      </c>
      <c r="B287" s="4" t="s">
        <v>327</v>
      </c>
      <c r="C287" s="4" t="s">
        <v>18</v>
      </c>
      <c r="D287" s="4" t="s">
        <v>25</v>
      </c>
      <c r="E287" s="4" t="s">
        <v>40</v>
      </c>
      <c r="F287" s="5" t="n">
        <v>5069</v>
      </c>
      <c r="G287" s="5" t="n">
        <v>3991</v>
      </c>
      <c r="H287" s="5" t="n">
        <v>50</v>
      </c>
      <c r="I287" s="5" t="n">
        <v>480</v>
      </c>
      <c r="J287" s="5" t="n">
        <v>97</v>
      </c>
      <c r="K287" s="4" t="n">
        <v>12</v>
      </c>
      <c r="L287" s="5" t="n">
        <v>4167</v>
      </c>
      <c r="M287" s="5" t="n">
        <v>1148</v>
      </c>
      <c r="N287" s="4" t="n">
        <v>48</v>
      </c>
      <c r="O287" s="6" t="n">
        <v>1.36</v>
      </c>
      <c r="P287" s="4" t="s">
        <v>50</v>
      </c>
      <c r="Q287" s="4" t="s">
        <v>22</v>
      </c>
    </row>
    <row r="288" customFormat="false" ht="15" hidden="false" customHeight="false" outlineLevel="0" collapsed="false">
      <c r="A288" s="3" t="n">
        <v>46275</v>
      </c>
      <c r="B288" s="4" t="s">
        <v>328</v>
      </c>
      <c r="C288" s="4" t="s">
        <v>24</v>
      </c>
      <c r="D288" s="4" t="s">
        <v>30</v>
      </c>
      <c r="E288" s="4" t="s">
        <v>42</v>
      </c>
      <c r="F288" s="5" t="n">
        <v>10560</v>
      </c>
      <c r="G288" s="5" t="n">
        <v>10443</v>
      </c>
      <c r="H288" s="5" t="n">
        <v>109</v>
      </c>
      <c r="I288" s="5" t="n">
        <v>480</v>
      </c>
      <c r="J288" s="5" t="n">
        <v>34</v>
      </c>
      <c r="K288" s="4" t="n">
        <v>25</v>
      </c>
      <c r="L288" s="5" t="n">
        <v>10734</v>
      </c>
      <c r="M288" s="5" t="n">
        <v>1156</v>
      </c>
      <c r="N288" s="4" t="n">
        <v>48</v>
      </c>
      <c r="O288" s="6" t="n">
        <v>0.43</v>
      </c>
      <c r="P288" s="4" t="s">
        <v>55</v>
      </c>
      <c r="Q288" s="4" t="s">
        <v>22</v>
      </c>
    </row>
    <row r="289" customFormat="false" ht="15" hidden="false" customHeight="false" outlineLevel="0" collapsed="false">
      <c r="A289" s="3" t="n">
        <v>46275</v>
      </c>
      <c r="B289" s="4" t="s">
        <v>329</v>
      </c>
      <c r="C289" s="4" t="s">
        <v>29</v>
      </c>
      <c r="D289" s="4" t="s">
        <v>34</v>
      </c>
      <c r="E289" s="4" t="s">
        <v>44</v>
      </c>
      <c r="F289" s="5" t="n">
        <v>3379</v>
      </c>
      <c r="G289" s="5" t="n">
        <v>2991</v>
      </c>
      <c r="H289" s="5" t="n">
        <v>168</v>
      </c>
      <c r="I289" s="5" t="n">
        <v>480</v>
      </c>
      <c r="J289" s="5" t="n">
        <v>70</v>
      </c>
      <c r="K289" s="4" t="n">
        <v>8</v>
      </c>
      <c r="L289" s="5" t="n">
        <v>3140</v>
      </c>
      <c r="M289" s="5" t="n">
        <v>2024</v>
      </c>
      <c r="N289" s="4" t="n">
        <v>48</v>
      </c>
      <c r="O289" s="6" t="n">
        <v>2.49</v>
      </c>
      <c r="P289" s="4" t="s">
        <v>21</v>
      </c>
      <c r="Q289" s="4" t="s">
        <v>22</v>
      </c>
    </row>
    <row r="290" customFormat="false" ht="15" hidden="false" customHeight="false" outlineLevel="0" collapsed="false">
      <c r="A290" s="3" t="n">
        <v>46276</v>
      </c>
      <c r="B290" s="4" t="s">
        <v>330</v>
      </c>
      <c r="C290" s="4" t="s">
        <v>18</v>
      </c>
      <c r="D290" s="4" t="s">
        <v>19</v>
      </c>
      <c r="E290" s="4" t="s">
        <v>20</v>
      </c>
      <c r="F290" s="5" t="n">
        <v>3802</v>
      </c>
      <c r="G290" s="5" t="n">
        <v>1933</v>
      </c>
      <c r="H290" s="5" t="n">
        <v>48</v>
      </c>
      <c r="I290" s="5" t="n">
        <v>480</v>
      </c>
      <c r="J290" s="5" t="n">
        <v>240</v>
      </c>
      <c r="K290" s="4" t="n">
        <v>9</v>
      </c>
      <c r="L290" s="5" t="n">
        <v>2003</v>
      </c>
      <c r="M290" s="5" t="n">
        <v>956</v>
      </c>
      <c r="N290" s="4" t="n">
        <v>48</v>
      </c>
      <c r="O290" s="6" t="n">
        <v>1.13</v>
      </c>
      <c r="P290" s="4" t="s">
        <v>50</v>
      </c>
      <c r="Q290" s="4" t="s">
        <v>22</v>
      </c>
    </row>
    <row r="291" customFormat="false" ht="15" hidden="false" customHeight="false" outlineLevel="0" collapsed="false">
      <c r="A291" s="3" t="n">
        <v>46276</v>
      </c>
      <c r="B291" s="4" t="s">
        <v>331</v>
      </c>
      <c r="C291" s="4" t="s">
        <v>24</v>
      </c>
      <c r="D291" s="4" t="s">
        <v>25</v>
      </c>
      <c r="E291" s="4" t="s">
        <v>26</v>
      </c>
      <c r="F291" s="5" t="n">
        <v>1690</v>
      </c>
      <c r="G291" s="5" t="n">
        <v>1764</v>
      </c>
      <c r="H291" s="5" t="n">
        <v>39</v>
      </c>
      <c r="I291" s="5" t="n">
        <v>480</v>
      </c>
      <c r="J291" s="5" t="n">
        <v>0</v>
      </c>
      <c r="K291" s="4" t="n">
        <v>4</v>
      </c>
      <c r="L291" s="5" t="n">
        <v>1839</v>
      </c>
      <c r="M291" s="5" t="n">
        <v>996</v>
      </c>
      <c r="N291" s="4" t="n">
        <v>48</v>
      </c>
      <c r="O291" s="6" t="n">
        <v>4.78</v>
      </c>
      <c r="P291" s="4" t="s">
        <v>32</v>
      </c>
      <c r="Q291" s="4" t="s">
        <v>22</v>
      </c>
    </row>
    <row r="292" customFormat="false" ht="15" hidden="false" customHeight="false" outlineLevel="0" collapsed="false">
      <c r="A292" s="3" t="n">
        <v>46276</v>
      </c>
      <c r="B292" s="4" t="s">
        <v>332</v>
      </c>
      <c r="C292" s="4" t="s">
        <v>29</v>
      </c>
      <c r="D292" s="4" t="s">
        <v>30</v>
      </c>
      <c r="E292" s="4" t="s">
        <v>31</v>
      </c>
      <c r="F292" s="5" t="n">
        <v>8448</v>
      </c>
      <c r="G292" s="5" t="n">
        <v>8016</v>
      </c>
      <c r="H292" s="5" t="n">
        <v>119</v>
      </c>
      <c r="I292" s="5" t="n">
        <v>480</v>
      </c>
      <c r="J292" s="5" t="n">
        <v>22</v>
      </c>
      <c r="K292" s="4" t="n">
        <v>20</v>
      </c>
      <c r="L292" s="5" t="n">
        <v>8324</v>
      </c>
      <c r="M292" s="5" t="n">
        <v>1160</v>
      </c>
      <c r="N292" s="4" t="n">
        <v>48</v>
      </c>
      <c r="O292" s="6" t="n">
        <v>0.8</v>
      </c>
      <c r="P292" s="4" t="s">
        <v>21</v>
      </c>
      <c r="Q292" s="4" t="s">
        <v>22</v>
      </c>
    </row>
    <row r="293" customFormat="false" ht="15" hidden="false" customHeight="false" outlineLevel="0" collapsed="false">
      <c r="A293" s="3" t="n">
        <v>46276</v>
      </c>
      <c r="B293" s="4" t="s">
        <v>333</v>
      </c>
      <c r="C293" s="4" t="s">
        <v>18</v>
      </c>
      <c r="D293" s="4" t="s">
        <v>34</v>
      </c>
      <c r="E293" s="4" t="s">
        <v>35</v>
      </c>
      <c r="F293" s="5" t="n">
        <v>2112</v>
      </c>
      <c r="G293" s="5" t="n">
        <v>1870</v>
      </c>
      <c r="H293" s="5" t="n">
        <v>66</v>
      </c>
      <c r="I293" s="5" t="n">
        <v>480</v>
      </c>
      <c r="J293" s="5" t="n">
        <v>77</v>
      </c>
      <c r="K293" s="4" t="n">
        <v>5</v>
      </c>
      <c r="L293" s="5" t="n">
        <v>1962</v>
      </c>
      <c r="M293" s="5" t="n">
        <v>1142</v>
      </c>
      <c r="N293" s="4" t="n">
        <v>48</v>
      </c>
      <c r="O293" s="6" t="n">
        <v>3.26</v>
      </c>
      <c r="P293" s="4" t="s">
        <v>65</v>
      </c>
      <c r="Q293" s="4" t="s">
        <v>22</v>
      </c>
    </row>
    <row r="294" customFormat="false" ht="15" hidden="false" customHeight="false" outlineLevel="0" collapsed="false">
      <c r="A294" s="3" t="n">
        <v>46277</v>
      </c>
      <c r="B294" s="4" t="s">
        <v>334</v>
      </c>
      <c r="C294" s="4" t="s">
        <v>24</v>
      </c>
      <c r="D294" s="4" t="s">
        <v>19</v>
      </c>
      <c r="E294" s="4" t="s">
        <v>37</v>
      </c>
      <c r="F294" s="5" t="n">
        <v>2534</v>
      </c>
      <c r="G294" s="5" t="n">
        <v>2513</v>
      </c>
      <c r="H294" s="5" t="n">
        <v>97</v>
      </c>
      <c r="I294" s="5" t="n">
        <v>480</v>
      </c>
      <c r="J294" s="5" t="n">
        <v>0</v>
      </c>
      <c r="K294" s="4" t="n">
        <v>6</v>
      </c>
      <c r="L294" s="5" t="n">
        <v>2592</v>
      </c>
      <c r="M294" s="5" t="n">
        <v>1572</v>
      </c>
      <c r="N294" s="4" t="n">
        <v>48</v>
      </c>
      <c r="O294" s="6" t="n">
        <v>2.27</v>
      </c>
      <c r="P294" s="4" t="s">
        <v>32</v>
      </c>
      <c r="Q294" s="4" t="s">
        <v>22</v>
      </c>
    </row>
    <row r="295" customFormat="false" ht="15" hidden="false" customHeight="false" outlineLevel="0" collapsed="false">
      <c r="A295" s="3" t="n">
        <v>46277</v>
      </c>
      <c r="B295" s="4" t="s">
        <v>335</v>
      </c>
      <c r="C295" s="4" t="s">
        <v>29</v>
      </c>
      <c r="D295" s="4" t="s">
        <v>25</v>
      </c>
      <c r="E295" s="4" t="s">
        <v>40</v>
      </c>
      <c r="F295" s="5" t="n">
        <v>5069</v>
      </c>
      <c r="G295" s="5" t="n">
        <v>4525</v>
      </c>
      <c r="H295" s="5" t="n">
        <v>101</v>
      </c>
      <c r="I295" s="5" t="n">
        <v>480</v>
      </c>
      <c r="J295" s="5" t="n">
        <v>45</v>
      </c>
      <c r="K295" s="4" t="n">
        <v>12</v>
      </c>
      <c r="L295" s="5" t="n">
        <v>4689</v>
      </c>
      <c r="M295" s="5" t="n">
        <v>1394</v>
      </c>
      <c r="N295" s="4" t="n">
        <v>48</v>
      </c>
      <c r="O295" s="6" t="n">
        <v>1.41</v>
      </c>
      <c r="P295" s="4" t="s">
        <v>27</v>
      </c>
      <c r="Q295" s="4" t="s">
        <v>22</v>
      </c>
    </row>
    <row r="296" customFormat="false" ht="15" hidden="false" customHeight="false" outlineLevel="0" collapsed="false">
      <c r="A296" s="3" t="n">
        <v>46277</v>
      </c>
      <c r="B296" s="4" t="s">
        <v>336</v>
      </c>
      <c r="C296" s="4" t="s">
        <v>18</v>
      </c>
      <c r="D296" s="4" t="s">
        <v>30</v>
      </c>
      <c r="E296" s="4" t="s">
        <v>42</v>
      </c>
      <c r="F296" s="5" t="n">
        <v>10560</v>
      </c>
      <c r="G296" s="5" t="n">
        <v>10202</v>
      </c>
      <c r="H296" s="5" t="n">
        <v>139</v>
      </c>
      <c r="I296" s="5" t="n">
        <v>480</v>
      </c>
      <c r="J296" s="5" t="n">
        <v>25</v>
      </c>
      <c r="K296" s="4" t="n">
        <v>25</v>
      </c>
      <c r="L296" s="5" t="n">
        <v>10541</v>
      </c>
      <c r="M296" s="5" t="n">
        <v>1102</v>
      </c>
      <c r="N296" s="4" t="n">
        <v>48</v>
      </c>
      <c r="O296" s="6" t="n">
        <v>0.43</v>
      </c>
      <c r="P296" s="4" t="s">
        <v>69</v>
      </c>
      <c r="Q296" s="4" t="s">
        <v>22</v>
      </c>
    </row>
    <row r="297" customFormat="false" ht="15" hidden="false" customHeight="false" outlineLevel="0" collapsed="false">
      <c r="A297" s="3" t="n">
        <v>46277</v>
      </c>
      <c r="B297" s="4" t="s">
        <v>337</v>
      </c>
      <c r="C297" s="4" t="s">
        <v>24</v>
      </c>
      <c r="D297" s="4" t="s">
        <v>34</v>
      </c>
      <c r="E297" s="4" t="s">
        <v>44</v>
      </c>
      <c r="F297" s="5" t="n">
        <v>3379</v>
      </c>
      <c r="G297" s="5" t="n">
        <v>3196</v>
      </c>
      <c r="H297" s="5" t="n">
        <v>94</v>
      </c>
      <c r="I297" s="5" t="n">
        <v>480</v>
      </c>
      <c r="J297" s="5" t="n">
        <v>34</v>
      </c>
      <c r="K297" s="4" t="n">
        <v>8</v>
      </c>
      <c r="L297" s="5" t="n">
        <v>3319</v>
      </c>
      <c r="M297" s="5" t="n">
        <v>2216</v>
      </c>
      <c r="N297" s="4" t="n">
        <v>48</v>
      </c>
      <c r="O297" s="6" t="n">
        <v>2.43</v>
      </c>
      <c r="P297" s="4" t="s">
        <v>27</v>
      </c>
      <c r="Q297" s="4" t="s">
        <v>22</v>
      </c>
    </row>
    <row r="298" customFormat="false" ht="15" hidden="false" customHeight="false" outlineLevel="0" collapsed="false">
      <c r="A298" s="3" t="n">
        <v>46278</v>
      </c>
      <c r="B298" s="4" t="s">
        <v>338</v>
      </c>
      <c r="C298" s="4" t="s">
        <v>29</v>
      </c>
      <c r="D298" s="4" t="s">
        <v>19</v>
      </c>
      <c r="E298" s="4" t="s">
        <v>20</v>
      </c>
      <c r="F298" s="5" t="n">
        <v>3802</v>
      </c>
      <c r="G298" s="5" t="n">
        <v>3305</v>
      </c>
      <c r="H298" s="5" t="n">
        <v>84</v>
      </c>
      <c r="I298" s="5" t="n">
        <v>480</v>
      </c>
      <c r="J298" s="5" t="n">
        <v>71</v>
      </c>
      <c r="K298" s="4" t="n">
        <v>9</v>
      </c>
      <c r="L298" s="5" t="n">
        <v>3428</v>
      </c>
      <c r="M298" s="5" t="n">
        <v>1441</v>
      </c>
      <c r="N298" s="4" t="n">
        <v>48</v>
      </c>
      <c r="O298" s="6" t="n">
        <v>1.13</v>
      </c>
      <c r="P298" s="4" t="s">
        <v>50</v>
      </c>
      <c r="Q298" s="4" t="s">
        <v>22</v>
      </c>
    </row>
    <row r="299" customFormat="false" ht="15" hidden="false" customHeight="false" outlineLevel="0" collapsed="false">
      <c r="A299" s="3" t="n">
        <v>46278</v>
      </c>
      <c r="B299" s="4" t="s">
        <v>339</v>
      </c>
      <c r="C299" s="4" t="s">
        <v>18</v>
      </c>
      <c r="D299" s="4" t="s">
        <v>25</v>
      </c>
      <c r="E299" s="4" t="s">
        <v>26</v>
      </c>
      <c r="F299" s="5" t="n">
        <v>1690</v>
      </c>
      <c r="G299" s="5" t="n">
        <v>1385</v>
      </c>
      <c r="H299" s="5" t="n">
        <v>45</v>
      </c>
      <c r="I299" s="5" t="n">
        <v>480</v>
      </c>
      <c r="J299" s="5" t="n">
        <v>83</v>
      </c>
      <c r="K299" s="4" t="n">
        <v>4</v>
      </c>
      <c r="L299" s="5" t="n">
        <v>1435</v>
      </c>
      <c r="M299" s="5" t="n">
        <v>686</v>
      </c>
      <c r="N299" s="4" t="n">
        <v>48</v>
      </c>
      <c r="O299" s="6" t="n">
        <v>5.01</v>
      </c>
      <c r="P299" s="4" t="s">
        <v>50</v>
      </c>
      <c r="Q299" s="4" t="s">
        <v>22</v>
      </c>
    </row>
    <row r="300" customFormat="false" ht="15" hidden="false" customHeight="false" outlineLevel="0" collapsed="false">
      <c r="A300" s="3" t="n">
        <v>46278</v>
      </c>
      <c r="B300" s="4" t="s">
        <v>340</v>
      </c>
      <c r="C300" s="4" t="s">
        <v>24</v>
      </c>
      <c r="D300" s="4" t="s">
        <v>30</v>
      </c>
      <c r="E300" s="4" t="s">
        <v>31</v>
      </c>
      <c r="F300" s="5" t="n">
        <v>8448</v>
      </c>
      <c r="G300" s="5" t="n">
        <v>8076</v>
      </c>
      <c r="H300" s="5" t="n">
        <v>163</v>
      </c>
      <c r="I300" s="5" t="n">
        <v>480</v>
      </c>
      <c r="J300" s="5" t="n">
        <v>19</v>
      </c>
      <c r="K300" s="4" t="n">
        <v>20</v>
      </c>
      <c r="L300" s="5" t="n">
        <v>8333</v>
      </c>
      <c r="M300" s="5" t="n">
        <v>1249</v>
      </c>
      <c r="N300" s="4" t="n">
        <v>48</v>
      </c>
      <c r="O300" s="6" t="n">
        <v>0.78</v>
      </c>
      <c r="P300" s="4" t="s">
        <v>27</v>
      </c>
      <c r="Q300" s="4" t="s">
        <v>22</v>
      </c>
    </row>
    <row r="301" customFormat="false" ht="15" hidden="false" customHeight="false" outlineLevel="0" collapsed="false">
      <c r="A301" s="3" t="n">
        <v>46278</v>
      </c>
      <c r="B301" s="4" t="s">
        <v>341</v>
      </c>
      <c r="C301" s="4" t="s">
        <v>29</v>
      </c>
      <c r="D301" s="4" t="s">
        <v>34</v>
      </c>
      <c r="E301" s="4" t="s">
        <v>35</v>
      </c>
      <c r="F301" s="5" t="n">
        <v>2112</v>
      </c>
      <c r="G301" s="5" t="n">
        <v>2056</v>
      </c>
      <c r="H301" s="5" t="n">
        <v>119</v>
      </c>
      <c r="I301" s="5" t="n">
        <v>480</v>
      </c>
      <c r="J301" s="5" t="n">
        <v>0</v>
      </c>
      <c r="K301" s="4" t="n">
        <v>5</v>
      </c>
      <c r="L301" s="5" t="n">
        <v>2123</v>
      </c>
      <c r="M301" s="5" t="n">
        <v>1235</v>
      </c>
      <c r="N301" s="4" t="n">
        <v>48</v>
      </c>
      <c r="O301" s="6" t="n">
        <v>3.13</v>
      </c>
      <c r="P301" s="4" t="s">
        <v>32</v>
      </c>
      <c r="Q301" s="4" t="s">
        <v>22</v>
      </c>
    </row>
    <row r="302" customFormat="false" ht="15" hidden="false" customHeight="false" outlineLevel="0" collapsed="false">
      <c r="A302" s="3" t="n">
        <v>46279</v>
      </c>
      <c r="B302" s="4" t="s">
        <v>342</v>
      </c>
      <c r="C302" s="4" t="s">
        <v>18</v>
      </c>
      <c r="D302" s="4" t="s">
        <v>19</v>
      </c>
      <c r="E302" s="4" t="s">
        <v>37</v>
      </c>
      <c r="F302" s="5" t="n">
        <v>2534</v>
      </c>
      <c r="G302" s="5" t="n">
        <v>2436</v>
      </c>
      <c r="H302" s="5" t="n">
        <v>57</v>
      </c>
      <c r="I302" s="5" t="n">
        <v>480</v>
      </c>
      <c r="J302" s="5" t="n">
        <v>15</v>
      </c>
      <c r="K302" s="4" t="n">
        <v>6</v>
      </c>
      <c r="L302" s="5" t="n">
        <v>2538</v>
      </c>
      <c r="M302" s="5" t="n">
        <v>1318</v>
      </c>
      <c r="N302" s="4" t="n">
        <v>48</v>
      </c>
      <c r="O302" s="6" t="n">
        <v>2.25</v>
      </c>
      <c r="P302" s="4" t="s">
        <v>50</v>
      </c>
      <c r="Q302" s="4" t="s">
        <v>22</v>
      </c>
    </row>
    <row r="303" customFormat="false" ht="15" hidden="false" customHeight="false" outlineLevel="0" collapsed="false">
      <c r="A303" s="3" t="n">
        <v>46279</v>
      </c>
      <c r="B303" s="4" t="s">
        <v>343</v>
      </c>
      <c r="C303" s="4" t="s">
        <v>24</v>
      </c>
      <c r="D303" s="4" t="s">
        <v>25</v>
      </c>
      <c r="E303" s="4" t="s">
        <v>40</v>
      </c>
      <c r="F303" s="5" t="n">
        <v>5069</v>
      </c>
      <c r="G303" s="5" t="n">
        <v>5197</v>
      </c>
      <c r="H303" s="5" t="n">
        <v>73</v>
      </c>
      <c r="I303" s="5" t="n">
        <v>480</v>
      </c>
      <c r="J303" s="5" t="n">
        <v>0</v>
      </c>
      <c r="K303" s="4" t="n">
        <v>12</v>
      </c>
      <c r="L303" s="5" t="n">
        <v>5336</v>
      </c>
      <c r="M303" s="5" t="n">
        <v>1523</v>
      </c>
      <c r="N303" s="4" t="n">
        <v>48</v>
      </c>
      <c r="O303" s="6" t="n">
        <v>1.4</v>
      </c>
      <c r="P303" s="4" t="s">
        <v>32</v>
      </c>
      <c r="Q303" s="4" t="s">
        <v>22</v>
      </c>
    </row>
    <row r="304" customFormat="false" ht="15" hidden="false" customHeight="false" outlineLevel="0" collapsed="false">
      <c r="A304" s="3" t="n">
        <v>46279</v>
      </c>
      <c r="B304" s="4" t="s">
        <v>344</v>
      </c>
      <c r="C304" s="4" t="s">
        <v>29</v>
      </c>
      <c r="D304" s="4" t="s">
        <v>30</v>
      </c>
      <c r="E304" s="4" t="s">
        <v>42</v>
      </c>
      <c r="F304" s="5" t="n">
        <v>10560</v>
      </c>
      <c r="G304" s="5" t="n">
        <v>9105</v>
      </c>
      <c r="H304" s="5" t="n">
        <v>131</v>
      </c>
      <c r="I304" s="5" t="n">
        <v>480</v>
      </c>
      <c r="J304" s="5" t="n">
        <v>83</v>
      </c>
      <c r="K304" s="4" t="n">
        <v>25</v>
      </c>
      <c r="L304" s="5" t="n">
        <v>9363</v>
      </c>
      <c r="M304" s="5" t="n">
        <v>1200</v>
      </c>
      <c r="N304" s="4" t="n">
        <v>48</v>
      </c>
      <c r="O304" s="6" t="n">
        <v>0.41</v>
      </c>
      <c r="P304" s="4" t="s">
        <v>21</v>
      </c>
      <c r="Q304" s="4" t="s">
        <v>22</v>
      </c>
    </row>
    <row r="305" customFormat="false" ht="15" hidden="false" customHeight="false" outlineLevel="0" collapsed="false">
      <c r="A305" s="3" t="n">
        <v>46279</v>
      </c>
      <c r="B305" s="4" t="s">
        <v>345</v>
      </c>
      <c r="C305" s="4" t="s">
        <v>18</v>
      </c>
      <c r="D305" s="4" t="s">
        <v>34</v>
      </c>
      <c r="E305" s="4" t="s">
        <v>44</v>
      </c>
      <c r="F305" s="5" t="n">
        <v>3379</v>
      </c>
      <c r="G305" s="5" t="n">
        <v>3222</v>
      </c>
      <c r="H305" s="5" t="n">
        <v>160</v>
      </c>
      <c r="I305" s="5" t="n">
        <v>480</v>
      </c>
      <c r="J305" s="5" t="n">
        <v>48</v>
      </c>
      <c r="K305" s="4" t="n">
        <v>8</v>
      </c>
      <c r="L305" s="5" t="n">
        <v>3315</v>
      </c>
      <c r="M305" s="5" t="n">
        <v>2326</v>
      </c>
      <c r="N305" s="4" t="n">
        <v>48</v>
      </c>
      <c r="O305" s="6" t="n">
        <v>2.47</v>
      </c>
      <c r="P305" s="4" t="s">
        <v>50</v>
      </c>
      <c r="Q305" s="4" t="s">
        <v>22</v>
      </c>
    </row>
    <row r="306" customFormat="false" ht="15" hidden="false" customHeight="false" outlineLevel="0" collapsed="false">
      <c r="A306" s="3" t="n">
        <v>46280</v>
      </c>
      <c r="B306" s="4" t="s">
        <v>346</v>
      </c>
      <c r="C306" s="4" t="s">
        <v>24</v>
      </c>
      <c r="D306" s="4" t="s">
        <v>19</v>
      </c>
      <c r="E306" s="4" t="s">
        <v>20</v>
      </c>
      <c r="F306" s="5" t="n">
        <v>3802</v>
      </c>
      <c r="G306" s="5" t="n">
        <v>3821</v>
      </c>
      <c r="H306" s="5" t="n">
        <v>69</v>
      </c>
      <c r="I306" s="5" t="n">
        <v>480</v>
      </c>
      <c r="J306" s="5" t="n">
        <v>18</v>
      </c>
      <c r="K306" s="4" t="n">
        <v>9</v>
      </c>
      <c r="L306" s="5" t="n">
        <v>4009</v>
      </c>
      <c r="M306" s="5" t="n">
        <v>1656</v>
      </c>
      <c r="N306" s="4" t="n">
        <v>48</v>
      </c>
      <c r="O306" s="6" t="n">
        <v>1.09</v>
      </c>
      <c r="P306" s="4" t="s">
        <v>55</v>
      </c>
      <c r="Q306" s="4" t="s">
        <v>22</v>
      </c>
    </row>
    <row r="307" customFormat="false" ht="15" hidden="false" customHeight="false" outlineLevel="0" collapsed="false">
      <c r="A307" s="3" t="n">
        <v>46280</v>
      </c>
      <c r="B307" s="4" t="s">
        <v>347</v>
      </c>
      <c r="C307" s="4" t="s">
        <v>29</v>
      </c>
      <c r="D307" s="4" t="s">
        <v>25</v>
      </c>
      <c r="E307" s="4" t="s">
        <v>26</v>
      </c>
      <c r="F307" s="5" t="n">
        <v>1690</v>
      </c>
      <c r="G307" s="5" t="n">
        <v>1546</v>
      </c>
      <c r="H307" s="5" t="n">
        <v>57</v>
      </c>
      <c r="I307" s="5" t="n">
        <v>480</v>
      </c>
      <c r="J307" s="5" t="n">
        <v>51</v>
      </c>
      <c r="K307" s="4" t="n">
        <v>4</v>
      </c>
      <c r="L307" s="5" t="n">
        <v>1611</v>
      </c>
      <c r="M307" s="5" t="n">
        <v>909</v>
      </c>
      <c r="N307" s="4" t="n">
        <v>48</v>
      </c>
      <c r="O307" s="6" t="n">
        <v>4.92</v>
      </c>
      <c r="P307" s="4" t="s">
        <v>27</v>
      </c>
      <c r="Q307" s="4" t="s">
        <v>22</v>
      </c>
    </row>
    <row r="308" customFormat="false" ht="15" hidden="false" customHeight="false" outlineLevel="0" collapsed="false">
      <c r="A308" s="3" t="n">
        <v>46280</v>
      </c>
      <c r="B308" s="4" t="s">
        <v>348</v>
      </c>
      <c r="C308" s="4" t="s">
        <v>18</v>
      </c>
      <c r="D308" s="4" t="s">
        <v>30</v>
      </c>
      <c r="E308" s="4" t="s">
        <v>31</v>
      </c>
      <c r="F308" s="5" t="n">
        <v>8448</v>
      </c>
      <c r="G308" s="5" t="n">
        <v>7881</v>
      </c>
      <c r="H308" s="5" t="n">
        <v>76</v>
      </c>
      <c r="I308" s="5" t="n">
        <v>480</v>
      </c>
      <c r="J308" s="5" t="n">
        <v>37</v>
      </c>
      <c r="K308" s="4" t="n">
        <v>20</v>
      </c>
      <c r="L308" s="5" t="n">
        <v>8255</v>
      </c>
      <c r="M308" s="5" t="n">
        <v>1290</v>
      </c>
      <c r="N308" s="4" t="n">
        <v>48</v>
      </c>
      <c r="O308" s="6" t="n">
        <v>0.79</v>
      </c>
      <c r="P308" s="4" t="s">
        <v>55</v>
      </c>
      <c r="Q308" s="4" t="s">
        <v>22</v>
      </c>
    </row>
    <row r="309" customFormat="false" ht="15" hidden="false" customHeight="false" outlineLevel="0" collapsed="false">
      <c r="A309" s="3" t="n">
        <v>46280</v>
      </c>
      <c r="B309" s="4" t="s">
        <v>349</v>
      </c>
      <c r="C309" s="4" t="s">
        <v>24</v>
      </c>
      <c r="D309" s="4" t="s">
        <v>34</v>
      </c>
      <c r="E309" s="4" t="s">
        <v>35</v>
      </c>
      <c r="F309" s="5" t="n">
        <v>2112</v>
      </c>
      <c r="G309" s="5" t="n">
        <v>2093</v>
      </c>
      <c r="H309" s="5" t="n">
        <v>153</v>
      </c>
      <c r="I309" s="5" t="n">
        <v>480</v>
      </c>
      <c r="J309" s="5" t="n">
        <v>43</v>
      </c>
      <c r="K309" s="4" t="n">
        <v>5</v>
      </c>
      <c r="L309" s="5" t="n">
        <v>2194</v>
      </c>
      <c r="M309" s="5" t="n">
        <v>1120</v>
      </c>
      <c r="N309" s="4" t="n">
        <v>48</v>
      </c>
      <c r="O309" s="6" t="n">
        <v>3.25</v>
      </c>
      <c r="P309" s="4" t="s">
        <v>27</v>
      </c>
      <c r="Q309" s="4" t="s">
        <v>22</v>
      </c>
    </row>
    <row r="310" customFormat="false" ht="15" hidden="false" customHeight="false" outlineLevel="0" collapsed="false">
      <c r="A310" s="3" t="n">
        <v>46281</v>
      </c>
      <c r="B310" s="4" t="s">
        <v>350</v>
      </c>
      <c r="C310" s="4" t="s">
        <v>29</v>
      </c>
      <c r="D310" s="4" t="s">
        <v>19</v>
      </c>
      <c r="E310" s="4" t="s">
        <v>37</v>
      </c>
      <c r="F310" s="5" t="n">
        <v>2534</v>
      </c>
      <c r="G310" s="5" t="n">
        <v>2408</v>
      </c>
      <c r="H310" s="5" t="n">
        <v>105</v>
      </c>
      <c r="I310" s="5" t="n">
        <v>480</v>
      </c>
      <c r="J310" s="5" t="n">
        <v>51</v>
      </c>
      <c r="K310" s="4" t="n">
        <v>6</v>
      </c>
      <c r="L310" s="5" t="n">
        <v>2469</v>
      </c>
      <c r="M310" s="5" t="n">
        <v>1320</v>
      </c>
      <c r="N310" s="4" t="n">
        <v>48</v>
      </c>
      <c r="O310" s="6" t="n">
        <v>2.19</v>
      </c>
      <c r="P310" s="4" t="s">
        <v>55</v>
      </c>
      <c r="Q310" s="4" t="s">
        <v>22</v>
      </c>
    </row>
    <row r="311" customFormat="false" ht="15" hidden="false" customHeight="false" outlineLevel="0" collapsed="false">
      <c r="A311" s="3" t="n">
        <v>46281</v>
      </c>
      <c r="B311" s="4" t="s">
        <v>351</v>
      </c>
      <c r="C311" s="4" t="s">
        <v>18</v>
      </c>
      <c r="D311" s="4" t="s">
        <v>25</v>
      </c>
      <c r="E311" s="4" t="s">
        <v>40</v>
      </c>
      <c r="F311" s="5" t="n">
        <v>5069</v>
      </c>
      <c r="G311" s="5" t="n">
        <v>4385</v>
      </c>
      <c r="H311" s="5" t="n">
        <v>88</v>
      </c>
      <c r="I311" s="5" t="n">
        <v>480</v>
      </c>
      <c r="J311" s="5" t="n">
        <v>84</v>
      </c>
      <c r="K311" s="4" t="n">
        <v>12</v>
      </c>
      <c r="L311" s="5" t="n">
        <v>4540</v>
      </c>
      <c r="M311" s="5" t="n">
        <v>1369</v>
      </c>
      <c r="N311" s="4" t="n">
        <v>48</v>
      </c>
      <c r="O311" s="6" t="n">
        <v>1.34</v>
      </c>
      <c r="P311" s="4" t="s">
        <v>27</v>
      </c>
      <c r="Q311" s="4" t="s">
        <v>22</v>
      </c>
    </row>
    <row r="312" customFormat="false" ht="15" hidden="false" customHeight="false" outlineLevel="0" collapsed="false">
      <c r="A312" s="3" t="n">
        <v>46281</v>
      </c>
      <c r="B312" s="4" t="s">
        <v>352</v>
      </c>
      <c r="C312" s="4" t="s">
        <v>24</v>
      </c>
      <c r="D312" s="4" t="s">
        <v>30</v>
      </c>
      <c r="E312" s="4" t="s">
        <v>42</v>
      </c>
      <c r="F312" s="5" t="n">
        <v>10560</v>
      </c>
      <c r="G312" s="5" t="n">
        <v>10364</v>
      </c>
      <c r="H312" s="5" t="n">
        <v>79</v>
      </c>
      <c r="I312" s="5" t="n">
        <v>480</v>
      </c>
      <c r="J312" s="5" t="n">
        <v>25</v>
      </c>
      <c r="K312" s="4" t="n">
        <v>25</v>
      </c>
      <c r="L312" s="5" t="n">
        <v>10832</v>
      </c>
      <c r="M312" s="5" t="n">
        <v>1253</v>
      </c>
      <c r="N312" s="4" t="n">
        <v>48</v>
      </c>
      <c r="O312" s="6" t="n">
        <v>0.42</v>
      </c>
      <c r="P312" s="4" t="s">
        <v>50</v>
      </c>
      <c r="Q312" s="4" t="s">
        <v>22</v>
      </c>
    </row>
    <row r="313" customFormat="false" ht="15" hidden="false" customHeight="false" outlineLevel="0" collapsed="false">
      <c r="A313" s="3" t="n">
        <v>46281</v>
      </c>
      <c r="B313" s="4" t="s">
        <v>353</v>
      </c>
      <c r="C313" s="4" t="s">
        <v>29</v>
      </c>
      <c r="D313" s="4" t="s">
        <v>34</v>
      </c>
      <c r="E313" s="4" t="s">
        <v>44</v>
      </c>
      <c r="F313" s="5" t="n">
        <v>3379</v>
      </c>
      <c r="G313" s="5" t="n">
        <v>3487</v>
      </c>
      <c r="H313" s="5" t="n">
        <v>123</v>
      </c>
      <c r="I313" s="5" t="n">
        <v>480</v>
      </c>
      <c r="J313" s="5" t="n">
        <v>0</v>
      </c>
      <c r="K313" s="4" t="n">
        <v>8</v>
      </c>
      <c r="L313" s="5" t="n">
        <v>3635</v>
      </c>
      <c r="M313" s="5" t="n">
        <v>2681</v>
      </c>
      <c r="N313" s="4" t="n">
        <v>48</v>
      </c>
      <c r="O313" s="6" t="n">
        <v>2.49</v>
      </c>
      <c r="P313" s="4" t="s">
        <v>32</v>
      </c>
      <c r="Q313" s="4" t="s">
        <v>22</v>
      </c>
    </row>
    <row r="314" customFormat="false" ht="15" hidden="false" customHeight="false" outlineLevel="0" collapsed="false">
      <c r="A314" s="3" t="n">
        <v>46282</v>
      </c>
      <c r="B314" s="4" t="s">
        <v>354</v>
      </c>
      <c r="C314" s="4" t="s">
        <v>18</v>
      </c>
      <c r="D314" s="4" t="s">
        <v>19</v>
      </c>
      <c r="E314" s="4" t="s">
        <v>20</v>
      </c>
      <c r="F314" s="5" t="n">
        <v>3802</v>
      </c>
      <c r="G314" s="5" t="n">
        <v>3705</v>
      </c>
      <c r="H314" s="5" t="n">
        <v>63</v>
      </c>
      <c r="I314" s="5" t="n">
        <v>480</v>
      </c>
      <c r="J314" s="5" t="n">
        <v>33</v>
      </c>
      <c r="K314" s="4" t="n">
        <v>9</v>
      </c>
      <c r="L314" s="5" t="n">
        <v>3866</v>
      </c>
      <c r="M314" s="5" t="n">
        <v>1747</v>
      </c>
      <c r="N314" s="4" t="n">
        <v>48</v>
      </c>
      <c r="O314" s="6" t="n">
        <v>1.09</v>
      </c>
      <c r="P314" s="4" t="s">
        <v>50</v>
      </c>
      <c r="Q314" s="4" t="s">
        <v>22</v>
      </c>
    </row>
    <row r="315" customFormat="false" ht="15" hidden="false" customHeight="false" outlineLevel="0" collapsed="false">
      <c r="A315" s="3" t="n">
        <v>46282</v>
      </c>
      <c r="B315" s="4" t="s">
        <v>355</v>
      </c>
      <c r="C315" s="4" t="s">
        <v>24</v>
      </c>
      <c r="D315" s="4" t="s">
        <v>25</v>
      </c>
      <c r="E315" s="4" t="s">
        <v>26</v>
      </c>
      <c r="F315" s="5" t="n">
        <v>1690</v>
      </c>
      <c r="G315" s="5" t="n">
        <v>1668</v>
      </c>
      <c r="H315" s="5" t="n">
        <v>51</v>
      </c>
      <c r="I315" s="5" t="n">
        <v>480</v>
      </c>
      <c r="J315" s="5" t="n">
        <v>23</v>
      </c>
      <c r="K315" s="4" t="n">
        <v>4</v>
      </c>
      <c r="L315" s="5" t="n">
        <v>1740</v>
      </c>
      <c r="M315" s="5" t="n">
        <v>856</v>
      </c>
      <c r="N315" s="4" t="n">
        <v>48</v>
      </c>
      <c r="O315" s="6" t="n">
        <v>4.77</v>
      </c>
      <c r="P315" s="4" t="s">
        <v>65</v>
      </c>
      <c r="Q315" s="4" t="s">
        <v>22</v>
      </c>
    </row>
    <row r="316" customFormat="false" ht="15" hidden="false" customHeight="false" outlineLevel="0" collapsed="false">
      <c r="A316" s="3" t="n">
        <v>46282</v>
      </c>
      <c r="B316" s="4" t="s">
        <v>356</v>
      </c>
      <c r="C316" s="4" t="s">
        <v>29</v>
      </c>
      <c r="D316" s="4" t="s">
        <v>30</v>
      </c>
      <c r="E316" s="4" t="s">
        <v>31</v>
      </c>
      <c r="F316" s="5" t="n">
        <v>8448</v>
      </c>
      <c r="G316" s="5" t="n">
        <v>6676</v>
      </c>
      <c r="H316" s="5" t="n">
        <v>150</v>
      </c>
      <c r="I316" s="5" t="n">
        <v>480</v>
      </c>
      <c r="J316" s="5" t="n">
        <v>84</v>
      </c>
      <c r="K316" s="4" t="n">
        <v>20</v>
      </c>
      <c r="L316" s="5" t="n">
        <v>6888</v>
      </c>
      <c r="M316" s="5" t="n">
        <v>914</v>
      </c>
      <c r="N316" s="4" t="n">
        <v>48</v>
      </c>
      <c r="O316" s="6" t="n">
        <v>0.81</v>
      </c>
      <c r="P316" s="4" t="s">
        <v>55</v>
      </c>
      <c r="Q316" s="4" t="s">
        <v>22</v>
      </c>
    </row>
    <row r="317" customFormat="false" ht="15" hidden="false" customHeight="false" outlineLevel="0" collapsed="false">
      <c r="A317" s="3" t="n">
        <v>46282</v>
      </c>
      <c r="B317" s="4" t="s">
        <v>357</v>
      </c>
      <c r="C317" s="4" t="s">
        <v>18</v>
      </c>
      <c r="D317" s="4" t="s">
        <v>34</v>
      </c>
      <c r="E317" s="4" t="s">
        <v>35</v>
      </c>
      <c r="F317" s="5" t="n">
        <v>2112</v>
      </c>
      <c r="G317" s="5" t="n">
        <v>2029</v>
      </c>
      <c r="H317" s="5" t="n">
        <v>112</v>
      </c>
      <c r="I317" s="5" t="n">
        <v>480</v>
      </c>
      <c r="J317" s="5" t="n">
        <v>34</v>
      </c>
      <c r="K317" s="4" t="n">
        <v>5</v>
      </c>
      <c r="L317" s="5" t="n">
        <v>2098</v>
      </c>
      <c r="M317" s="5" t="n">
        <v>1114</v>
      </c>
      <c r="N317" s="4" t="n">
        <v>48</v>
      </c>
      <c r="O317" s="6" t="n">
        <v>3.1</v>
      </c>
      <c r="P317" s="4" t="s">
        <v>50</v>
      </c>
      <c r="Q317" s="4" t="s">
        <v>22</v>
      </c>
    </row>
    <row r="318" customFormat="false" ht="15" hidden="false" customHeight="false" outlineLevel="0" collapsed="false">
      <c r="A318" s="3" t="n">
        <v>46283</v>
      </c>
      <c r="B318" s="4" t="s">
        <v>358</v>
      </c>
      <c r="C318" s="4" t="s">
        <v>24</v>
      </c>
      <c r="D318" s="4" t="s">
        <v>19</v>
      </c>
      <c r="E318" s="4" t="s">
        <v>37</v>
      </c>
      <c r="F318" s="5" t="n">
        <v>2534</v>
      </c>
      <c r="G318" s="5" t="n">
        <v>2370</v>
      </c>
      <c r="H318" s="5" t="n">
        <v>92</v>
      </c>
      <c r="I318" s="5" t="n">
        <v>480</v>
      </c>
      <c r="J318" s="5" t="n">
        <v>23</v>
      </c>
      <c r="K318" s="4" t="n">
        <v>6</v>
      </c>
      <c r="L318" s="5" t="n">
        <v>2444</v>
      </c>
      <c r="M318" s="5" t="n">
        <v>1414</v>
      </c>
      <c r="N318" s="4" t="n">
        <v>48</v>
      </c>
      <c r="O318" s="6" t="n">
        <v>2.21</v>
      </c>
      <c r="P318" s="4" t="s">
        <v>27</v>
      </c>
      <c r="Q318" s="4" t="s">
        <v>22</v>
      </c>
    </row>
    <row r="319" customFormat="false" ht="15" hidden="false" customHeight="false" outlineLevel="0" collapsed="false">
      <c r="A319" s="3" t="n">
        <v>46283</v>
      </c>
      <c r="B319" s="4" t="s">
        <v>359</v>
      </c>
      <c r="C319" s="4" t="s">
        <v>29</v>
      </c>
      <c r="D319" s="4" t="s">
        <v>25</v>
      </c>
      <c r="E319" s="4" t="s">
        <v>40</v>
      </c>
      <c r="F319" s="5" t="n">
        <v>5069</v>
      </c>
      <c r="G319" s="5" t="n">
        <v>5332</v>
      </c>
      <c r="H319" s="5" t="n">
        <v>133</v>
      </c>
      <c r="I319" s="5" t="n">
        <v>480</v>
      </c>
      <c r="J319" s="5" t="n">
        <v>0</v>
      </c>
      <c r="K319" s="4" t="n">
        <v>12</v>
      </c>
      <c r="L319" s="5" t="n">
        <v>5587</v>
      </c>
      <c r="M319" s="5" t="n">
        <v>1677</v>
      </c>
      <c r="N319" s="4" t="n">
        <v>48</v>
      </c>
      <c r="O319" s="6" t="n">
        <v>1.37</v>
      </c>
      <c r="P319" s="4" t="s">
        <v>32</v>
      </c>
      <c r="Q319" s="4" t="s">
        <v>22</v>
      </c>
    </row>
    <row r="320" customFormat="false" ht="15" hidden="false" customHeight="false" outlineLevel="0" collapsed="false">
      <c r="A320" s="3" t="n">
        <v>46283</v>
      </c>
      <c r="B320" s="4" t="s">
        <v>360</v>
      </c>
      <c r="C320" s="4" t="s">
        <v>18</v>
      </c>
      <c r="D320" s="4" t="s">
        <v>30</v>
      </c>
      <c r="E320" s="4" t="s">
        <v>42</v>
      </c>
      <c r="F320" s="5" t="n">
        <v>10560</v>
      </c>
      <c r="G320" s="5" t="n">
        <v>9220</v>
      </c>
      <c r="H320" s="5" t="n">
        <v>83</v>
      </c>
      <c r="I320" s="5" t="n">
        <v>480</v>
      </c>
      <c r="J320" s="5" t="n">
        <v>55</v>
      </c>
      <c r="K320" s="4" t="n">
        <v>25</v>
      </c>
      <c r="L320" s="5" t="n">
        <v>9566</v>
      </c>
      <c r="M320" s="5" t="n">
        <v>1195</v>
      </c>
      <c r="N320" s="4" t="n">
        <v>48</v>
      </c>
      <c r="O320" s="6" t="n">
        <v>0.42</v>
      </c>
      <c r="P320" s="4" t="s">
        <v>21</v>
      </c>
      <c r="Q320" s="4" t="s">
        <v>22</v>
      </c>
    </row>
    <row r="321" customFormat="false" ht="15" hidden="false" customHeight="false" outlineLevel="0" collapsed="false">
      <c r="A321" s="3" t="n">
        <v>46283</v>
      </c>
      <c r="B321" s="4" t="s">
        <v>361</v>
      </c>
      <c r="C321" s="4" t="s">
        <v>24</v>
      </c>
      <c r="D321" s="4" t="s">
        <v>34</v>
      </c>
      <c r="E321" s="4" t="s">
        <v>44</v>
      </c>
      <c r="F321" s="5" t="n">
        <v>3379</v>
      </c>
      <c r="G321" s="5" t="n">
        <v>3669</v>
      </c>
      <c r="H321" s="5" t="n">
        <v>108</v>
      </c>
      <c r="I321" s="5" t="n">
        <v>480</v>
      </c>
      <c r="J321" s="5" t="n">
        <v>0</v>
      </c>
      <c r="K321" s="4" t="n">
        <v>8</v>
      </c>
      <c r="L321" s="5" t="n">
        <v>3803</v>
      </c>
      <c r="M321" s="5" t="n">
        <v>2579</v>
      </c>
      <c r="N321" s="4" t="n">
        <v>48</v>
      </c>
      <c r="O321" s="6" t="n">
        <v>2.49</v>
      </c>
      <c r="P321" s="4" t="s">
        <v>32</v>
      </c>
      <c r="Q321" s="4" t="s">
        <v>22</v>
      </c>
    </row>
    <row r="322" customFormat="false" ht="15" hidden="false" customHeight="false" outlineLevel="0" collapsed="false">
      <c r="A322" s="3" t="n">
        <v>46284</v>
      </c>
      <c r="B322" s="4" t="s">
        <v>362</v>
      </c>
      <c r="C322" s="4" t="s">
        <v>29</v>
      </c>
      <c r="D322" s="4" t="s">
        <v>19</v>
      </c>
      <c r="E322" s="4" t="s">
        <v>20</v>
      </c>
      <c r="F322" s="5" t="n">
        <v>3802</v>
      </c>
      <c r="G322" s="5" t="n">
        <v>3751</v>
      </c>
      <c r="H322" s="5" t="n">
        <v>76</v>
      </c>
      <c r="I322" s="5" t="n">
        <v>480</v>
      </c>
      <c r="J322" s="5" t="n">
        <v>15</v>
      </c>
      <c r="K322" s="4" t="n">
        <v>9</v>
      </c>
      <c r="L322" s="5" t="n">
        <v>3903</v>
      </c>
      <c r="M322" s="5" t="n">
        <v>1676</v>
      </c>
      <c r="N322" s="4" t="n">
        <v>48</v>
      </c>
      <c r="O322" s="6" t="n">
        <v>1.12</v>
      </c>
      <c r="P322" s="4" t="s">
        <v>21</v>
      </c>
      <c r="Q322" s="4" t="s">
        <v>22</v>
      </c>
    </row>
    <row r="323" customFormat="false" ht="15" hidden="false" customHeight="false" outlineLevel="0" collapsed="false">
      <c r="A323" s="3" t="n">
        <v>46284</v>
      </c>
      <c r="B323" s="4" t="s">
        <v>363</v>
      </c>
      <c r="C323" s="4" t="s">
        <v>18</v>
      </c>
      <c r="D323" s="4" t="s">
        <v>25</v>
      </c>
      <c r="E323" s="4" t="s">
        <v>26</v>
      </c>
      <c r="F323" s="5" t="n">
        <v>1690</v>
      </c>
      <c r="G323" s="5" t="n">
        <v>1689</v>
      </c>
      <c r="H323" s="5" t="n">
        <v>56</v>
      </c>
      <c r="I323" s="5" t="n">
        <v>480</v>
      </c>
      <c r="J323" s="5" t="n">
        <v>0</v>
      </c>
      <c r="K323" s="4" t="n">
        <v>4</v>
      </c>
      <c r="L323" s="5" t="n">
        <v>1763</v>
      </c>
      <c r="M323" s="5" t="n">
        <v>882</v>
      </c>
      <c r="N323" s="4" t="n">
        <v>48</v>
      </c>
      <c r="O323" s="6" t="n">
        <v>4.73</v>
      </c>
      <c r="P323" s="4" t="s">
        <v>32</v>
      </c>
      <c r="Q323" s="4" t="s">
        <v>22</v>
      </c>
    </row>
    <row r="324" customFormat="false" ht="15" hidden="false" customHeight="false" outlineLevel="0" collapsed="false">
      <c r="A324" s="3" t="n">
        <v>46284</v>
      </c>
      <c r="B324" s="4" t="s">
        <v>364</v>
      </c>
      <c r="C324" s="4" t="s">
        <v>24</v>
      </c>
      <c r="D324" s="4" t="s">
        <v>30</v>
      </c>
      <c r="E324" s="4" t="s">
        <v>31</v>
      </c>
      <c r="F324" s="5" t="n">
        <v>8448</v>
      </c>
      <c r="G324" s="5" t="n">
        <v>8567</v>
      </c>
      <c r="H324" s="5" t="n">
        <v>175</v>
      </c>
      <c r="I324" s="5" t="n">
        <v>480</v>
      </c>
      <c r="J324" s="5" t="n">
        <v>28</v>
      </c>
      <c r="K324" s="4" t="n">
        <v>20</v>
      </c>
      <c r="L324" s="5" t="n">
        <v>8781</v>
      </c>
      <c r="M324" s="5" t="n">
        <v>1325</v>
      </c>
      <c r="N324" s="4" t="n">
        <v>48</v>
      </c>
      <c r="O324" s="6" t="n">
        <v>0.81</v>
      </c>
      <c r="P324" s="4" t="s">
        <v>38</v>
      </c>
      <c r="Q324" s="4" t="s">
        <v>22</v>
      </c>
    </row>
    <row r="325" customFormat="false" ht="15" hidden="false" customHeight="false" outlineLevel="0" collapsed="false">
      <c r="A325" s="3" t="n">
        <v>46284</v>
      </c>
      <c r="B325" s="4" t="s">
        <v>365</v>
      </c>
      <c r="C325" s="4" t="s">
        <v>29</v>
      </c>
      <c r="D325" s="4" t="s">
        <v>34</v>
      </c>
      <c r="E325" s="4" t="s">
        <v>35</v>
      </c>
      <c r="F325" s="5" t="n">
        <v>2112</v>
      </c>
      <c r="G325" s="5" t="n">
        <v>1961</v>
      </c>
      <c r="H325" s="5" t="n">
        <v>80</v>
      </c>
      <c r="I325" s="5" t="n">
        <v>480</v>
      </c>
      <c r="J325" s="5" t="n">
        <v>39</v>
      </c>
      <c r="K325" s="4" t="n">
        <v>5</v>
      </c>
      <c r="L325" s="5" t="n">
        <v>2059</v>
      </c>
      <c r="M325" s="5" t="n">
        <v>1180</v>
      </c>
      <c r="N325" s="4" t="n">
        <v>48</v>
      </c>
      <c r="O325" s="6" t="n">
        <v>3.1</v>
      </c>
      <c r="P325" s="4" t="s">
        <v>21</v>
      </c>
      <c r="Q325" s="4" t="s">
        <v>22</v>
      </c>
    </row>
    <row r="326" customFormat="false" ht="15" hidden="false" customHeight="false" outlineLevel="0" collapsed="false">
      <c r="A326" s="3" t="n">
        <v>46285</v>
      </c>
      <c r="B326" s="4" t="s">
        <v>366</v>
      </c>
      <c r="C326" s="4" t="s">
        <v>18</v>
      </c>
      <c r="D326" s="4" t="s">
        <v>19</v>
      </c>
      <c r="E326" s="4" t="s">
        <v>37</v>
      </c>
      <c r="F326" s="5" t="n">
        <v>2534</v>
      </c>
      <c r="G326" s="5" t="n">
        <v>2626</v>
      </c>
      <c r="H326" s="5" t="n">
        <v>91</v>
      </c>
      <c r="I326" s="5" t="n">
        <v>480</v>
      </c>
      <c r="J326" s="5" t="n">
        <v>0</v>
      </c>
      <c r="K326" s="4" t="n">
        <v>6</v>
      </c>
      <c r="L326" s="5" t="n">
        <v>2716</v>
      </c>
      <c r="M326" s="5" t="n">
        <v>1725</v>
      </c>
      <c r="N326" s="4" t="n">
        <v>48</v>
      </c>
      <c r="O326" s="6" t="n">
        <v>2.17</v>
      </c>
      <c r="P326" s="4" t="s">
        <v>32</v>
      </c>
      <c r="Q326" s="4" t="s">
        <v>22</v>
      </c>
    </row>
    <row r="327" customFormat="false" ht="15" hidden="false" customHeight="false" outlineLevel="0" collapsed="false">
      <c r="A327" s="3" t="n">
        <v>46285</v>
      </c>
      <c r="B327" s="4" t="s">
        <v>367</v>
      </c>
      <c r="C327" s="4" t="s">
        <v>24</v>
      </c>
      <c r="D327" s="4" t="s">
        <v>25</v>
      </c>
      <c r="E327" s="4" t="s">
        <v>40</v>
      </c>
      <c r="F327" s="5" t="n">
        <v>5069</v>
      </c>
      <c r="G327" s="5" t="n">
        <v>4280</v>
      </c>
      <c r="H327" s="5" t="n">
        <v>81</v>
      </c>
      <c r="I327" s="5" t="n">
        <v>480</v>
      </c>
      <c r="J327" s="5" t="n">
        <v>91</v>
      </c>
      <c r="K327" s="4" t="n">
        <v>12</v>
      </c>
      <c r="L327" s="5" t="n">
        <v>4490</v>
      </c>
      <c r="M327" s="5" t="n">
        <v>1216</v>
      </c>
      <c r="N327" s="4" t="n">
        <v>48</v>
      </c>
      <c r="O327" s="6" t="n">
        <v>1.36</v>
      </c>
      <c r="P327" s="4" t="s">
        <v>21</v>
      </c>
      <c r="Q327" s="4" t="s">
        <v>22</v>
      </c>
    </row>
    <row r="328" customFormat="false" ht="15" hidden="false" customHeight="false" outlineLevel="0" collapsed="false">
      <c r="A328" s="3" t="n">
        <v>46285</v>
      </c>
      <c r="B328" s="4" t="s">
        <v>368</v>
      </c>
      <c r="C328" s="4" t="s">
        <v>29</v>
      </c>
      <c r="D328" s="4" t="s">
        <v>30</v>
      </c>
      <c r="E328" s="4" t="s">
        <v>42</v>
      </c>
      <c r="F328" s="5" t="n">
        <v>10560</v>
      </c>
      <c r="G328" s="5" t="n">
        <v>10921</v>
      </c>
      <c r="H328" s="5" t="n">
        <v>156</v>
      </c>
      <c r="I328" s="5" t="n">
        <v>480</v>
      </c>
      <c r="J328" s="5" t="n">
        <v>0</v>
      </c>
      <c r="K328" s="4" t="n">
        <v>25</v>
      </c>
      <c r="L328" s="5" t="n">
        <v>11281</v>
      </c>
      <c r="M328" s="5" t="n">
        <v>1251</v>
      </c>
      <c r="N328" s="4" t="n">
        <v>48</v>
      </c>
      <c r="O328" s="6" t="n">
        <v>0.41</v>
      </c>
      <c r="P328" s="4" t="s">
        <v>32</v>
      </c>
      <c r="Q328" s="4" t="s">
        <v>22</v>
      </c>
    </row>
    <row r="329" customFormat="false" ht="15" hidden="false" customHeight="false" outlineLevel="0" collapsed="false">
      <c r="A329" s="3" t="n">
        <v>46285</v>
      </c>
      <c r="B329" s="4" t="s">
        <v>369</v>
      </c>
      <c r="C329" s="4" t="s">
        <v>18</v>
      </c>
      <c r="D329" s="4" t="s">
        <v>34</v>
      </c>
      <c r="E329" s="4" t="s">
        <v>44</v>
      </c>
      <c r="F329" s="5" t="n">
        <v>3379</v>
      </c>
      <c r="G329" s="5" t="n">
        <v>3527</v>
      </c>
      <c r="H329" s="5" t="n">
        <v>115</v>
      </c>
      <c r="I329" s="5" t="n">
        <v>480</v>
      </c>
      <c r="J329" s="5" t="n">
        <v>0</v>
      </c>
      <c r="K329" s="4" t="n">
        <v>8</v>
      </c>
      <c r="L329" s="5" t="n">
        <v>3630</v>
      </c>
      <c r="M329" s="5" t="n">
        <v>2575</v>
      </c>
      <c r="N329" s="4" t="n">
        <v>48</v>
      </c>
      <c r="O329" s="6" t="n">
        <v>2.42</v>
      </c>
      <c r="P329" s="4" t="s">
        <v>32</v>
      </c>
      <c r="Q329" s="4" t="s">
        <v>22</v>
      </c>
    </row>
    <row r="330" customFormat="false" ht="15" hidden="false" customHeight="false" outlineLevel="0" collapsed="false">
      <c r="A330" s="3" t="n">
        <v>46286</v>
      </c>
      <c r="B330" s="4" t="s">
        <v>370</v>
      </c>
      <c r="C330" s="4" t="s">
        <v>24</v>
      </c>
      <c r="D330" s="4" t="s">
        <v>19</v>
      </c>
      <c r="E330" s="4" t="s">
        <v>20</v>
      </c>
      <c r="F330" s="5" t="n">
        <v>3802</v>
      </c>
      <c r="G330" s="5" t="n">
        <v>3805</v>
      </c>
      <c r="H330" s="5" t="n">
        <v>64</v>
      </c>
      <c r="I330" s="5" t="n">
        <v>480</v>
      </c>
      <c r="J330" s="5" t="n">
        <v>0</v>
      </c>
      <c r="K330" s="4" t="n">
        <v>9</v>
      </c>
      <c r="L330" s="5" t="n">
        <v>3925</v>
      </c>
      <c r="M330" s="5" t="n">
        <v>1582</v>
      </c>
      <c r="N330" s="4" t="n">
        <v>48</v>
      </c>
      <c r="O330" s="6" t="n">
        <v>1.09</v>
      </c>
      <c r="P330" s="4" t="s">
        <v>32</v>
      </c>
      <c r="Q330" s="4" t="s">
        <v>22</v>
      </c>
    </row>
    <row r="331" customFormat="false" ht="15" hidden="false" customHeight="false" outlineLevel="0" collapsed="false">
      <c r="A331" s="3" t="n">
        <v>46286</v>
      </c>
      <c r="B331" s="4" t="s">
        <v>371</v>
      </c>
      <c r="C331" s="4" t="s">
        <v>29</v>
      </c>
      <c r="D331" s="4" t="s">
        <v>25</v>
      </c>
      <c r="E331" s="4" t="s">
        <v>26</v>
      </c>
      <c r="F331" s="5" t="n">
        <v>1690</v>
      </c>
      <c r="G331" s="5" t="n">
        <v>1747</v>
      </c>
      <c r="H331" s="5" t="n">
        <v>33</v>
      </c>
      <c r="I331" s="5" t="n">
        <v>480</v>
      </c>
      <c r="J331" s="5" t="n">
        <v>0</v>
      </c>
      <c r="K331" s="4" t="n">
        <v>4</v>
      </c>
      <c r="L331" s="5" t="n">
        <v>1827</v>
      </c>
      <c r="M331" s="5" t="n">
        <v>928</v>
      </c>
      <c r="N331" s="4" t="n">
        <v>48</v>
      </c>
      <c r="O331" s="6" t="n">
        <v>4.76</v>
      </c>
      <c r="P331" s="4" t="s">
        <v>32</v>
      </c>
      <c r="Q331" s="4" t="s">
        <v>22</v>
      </c>
    </row>
    <row r="332" customFormat="false" ht="15" hidden="false" customHeight="false" outlineLevel="0" collapsed="false">
      <c r="A332" s="3" t="n">
        <v>46286</v>
      </c>
      <c r="B332" s="4" t="s">
        <v>372</v>
      </c>
      <c r="C332" s="4" t="s">
        <v>18</v>
      </c>
      <c r="D332" s="4" t="s">
        <v>30</v>
      </c>
      <c r="E332" s="4" t="s">
        <v>31</v>
      </c>
      <c r="F332" s="5" t="n">
        <v>8448</v>
      </c>
      <c r="G332" s="5" t="n">
        <v>7832</v>
      </c>
      <c r="H332" s="5" t="n">
        <v>164</v>
      </c>
      <c r="I332" s="5" t="n">
        <v>480</v>
      </c>
      <c r="J332" s="5" t="n">
        <v>38</v>
      </c>
      <c r="K332" s="4" t="n">
        <v>20</v>
      </c>
      <c r="L332" s="5" t="n">
        <v>8034</v>
      </c>
      <c r="M332" s="5" t="n">
        <v>1152</v>
      </c>
      <c r="N332" s="4" t="n">
        <v>48</v>
      </c>
      <c r="O332" s="6" t="n">
        <v>0.79</v>
      </c>
      <c r="P332" s="4" t="s">
        <v>27</v>
      </c>
      <c r="Q332" s="4" t="s">
        <v>22</v>
      </c>
    </row>
    <row r="333" customFormat="false" ht="15" hidden="false" customHeight="false" outlineLevel="0" collapsed="false">
      <c r="A333" s="3" t="n">
        <v>46286</v>
      </c>
      <c r="B333" s="4" t="s">
        <v>373</v>
      </c>
      <c r="C333" s="4" t="s">
        <v>24</v>
      </c>
      <c r="D333" s="4" t="s">
        <v>34</v>
      </c>
      <c r="E333" s="4" t="s">
        <v>35</v>
      </c>
      <c r="F333" s="5" t="n">
        <v>2112</v>
      </c>
      <c r="G333" s="5" t="n">
        <v>1949</v>
      </c>
      <c r="H333" s="5" t="n">
        <v>62</v>
      </c>
      <c r="I333" s="5" t="n">
        <v>480</v>
      </c>
      <c r="J333" s="5" t="n">
        <v>34</v>
      </c>
      <c r="K333" s="4" t="n">
        <v>5</v>
      </c>
      <c r="L333" s="5" t="n">
        <v>2038</v>
      </c>
      <c r="M333" s="5" t="n">
        <v>1234</v>
      </c>
      <c r="N333" s="4" t="n">
        <v>48</v>
      </c>
      <c r="O333" s="6" t="n">
        <v>3.11</v>
      </c>
      <c r="P333" s="4" t="s">
        <v>38</v>
      </c>
      <c r="Q333" s="4" t="s">
        <v>22</v>
      </c>
    </row>
    <row r="334" customFormat="false" ht="15" hidden="false" customHeight="false" outlineLevel="0" collapsed="false">
      <c r="A334" s="3" t="n">
        <v>46287</v>
      </c>
      <c r="B334" s="4" t="s">
        <v>374</v>
      </c>
      <c r="C334" s="4" t="s">
        <v>29</v>
      </c>
      <c r="D334" s="4" t="s">
        <v>19</v>
      </c>
      <c r="E334" s="4" t="s">
        <v>37</v>
      </c>
      <c r="F334" s="5" t="n">
        <v>2534</v>
      </c>
      <c r="G334" s="5" t="n">
        <v>2339</v>
      </c>
      <c r="H334" s="5" t="n">
        <v>68</v>
      </c>
      <c r="I334" s="5" t="n">
        <v>480</v>
      </c>
      <c r="J334" s="5" t="n">
        <v>46</v>
      </c>
      <c r="K334" s="4" t="n">
        <v>6</v>
      </c>
      <c r="L334" s="5" t="n">
        <v>2445</v>
      </c>
      <c r="M334" s="5" t="n">
        <v>1269</v>
      </c>
      <c r="N334" s="4" t="n">
        <v>48</v>
      </c>
      <c r="O334" s="6" t="n">
        <v>2.17</v>
      </c>
      <c r="P334" s="4" t="s">
        <v>27</v>
      </c>
      <c r="Q334" s="4" t="s">
        <v>22</v>
      </c>
    </row>
    <row r="335" customFormat="false" ht="15" hidden="false" customHeight="false" outlineLevel="0" collapsed="false">
      <c r="A335" s="3" t="n">
        <v>46287</v>
      </c>
      <c r="B335" s="4" t="s">
        <v>375</v>
      </c>
      <c r="C335" s="4" t="s">
        <v>18</v>
      </c>
      <c r="D335" s="4" t="s">
        <v>25</v>
      </c>
      <c r="E335" s="4" t="s">
        <v>40</v>
      </c>
      <c r="F335" s="5" t="n">
        <v>5069</v>
      </c>
      <c r="G335" s="5" t="n">
        <v>5194</v>
      </c>
      <c r="H335" s="5" t="n">
        <v>90</v>
      </c>
      <c r="I335" s="5" t="n">
        <v>480</v>
      </c>
      <c r="J335" s="5" t="n">
        <v>21</v>
      </c>
      <c r="K335" s="4" t="n">
        <v>12</v>
      </c>
      <c r="L335" s="5" t="n">
        <v>5329</v>
      </c>
      <c r="M335" s="5" t="n">
        <v>1546</v>
      </c>
      <c r="N335" s="4" t="n">
        <v>48</v>
      </c>
      <c r="O335" s="6" t="n">
        <v>1.35</v>
      </c>
      <c r="P335" s="4" t="s">
        <v>69</v>
      </c>
      <c r="Q335" s="4" t="s">
        <v>22</v>
      </c>
    </row>
    <row r="336" customFormat="false" ht="15" hidden="false" customHeight="false" outlineLevel="0" collapsed="false">
      <c r="A336" s="3" t="n">
        <v>46287</v>
      </c>
      <c r="B336" s="4" t="s">
        <v>376</v>
      </c>
      <c r="C336" s="4" t="s">
        <v>24</v>
      </c>
      <c r="D336" s="4" t="s">
        <v>30</v>
      </c>
      <c r="E336" s="4" t="s">
        <v>42</v>
      </c>
      <c r="F336" s="5" t="n">
        <v>10560</v>
      </c>
      <c r="G336" s="5" t="n">
        <v>10794</v>
      </c>
      <c r="H336" s="5" t="n">
        <v>67</v>
      </c>
      <c r="I336" s="5" t="n">
        <v>480</v>
      </c>
      <c r="J336" s="5" t="n">
        <v>0</v>
      </c>
      <c r="K336" s="4" t="n">
        <v>25</v>
      </c>
      <c r="L336" s="5" t="n">
        <v>11248</v>
      </c>
      <c r="M336" s="5" t="n">
        <v>1211</v>
      </c>
      <c r="N336" s="4" t="n">
        <v>48</v>
      </c>
      <c r="O336" s="6" t="n">
        <v>0.42</v>
      </c>
      <c r="P336" s="4" t="s">
        <v>32</v>
      </c>
      <c r="Q336" s="4" t="s">
        <v>22</v>
      </c>
    </row>
    <row r="337" customFormat="false" ht="15" hidden="false" customHeight="false" outlineLevel="0" collapsed="false">
      <c r="A337" s="3" t="n">
        <v>46287</v>
      </c>
      <c r="B337" s="4" t="s">
        <v>377</v>
      </c>
      <c r="C337" s="4" t="s">
        <v>29</v>
      </c>
      <c r="D337" s="4" t="s">
        <v>34</v>
      </c>
      <c r="E337" s="4" t="s">
        <v>44</v>
      </c>
      <c r="F337" s="5" t="n">
        <v>3379</v>
      </c>
      <c r="G337" s="5" t="n">
        <v>2864</v>
      </c>
      <c r="H337" s="5" t="n">
        <v>123</v>
      </c>
      <c r="I337" s="5" t="n">
        <v>480</v>
      </c>
      <c r="J337" s="5" t="n">
        <v>83</v>
      </c>
      <c r="K337" s="4" t="n">
        <v>8</v>
      </c>
      <c r="L337" s="5" t="n">
        <v>2957</v>
      </c>
      <c r="M337" s="5" t="n">
        <v>2068</v>
      </c>
      <c r="N337" s="4" t="n">
        <v>48</v>
      </c>
      <c r="O337" s="6" t="n">
        <v>2.45</v>
      </c>
      <c r="P337" s="4" t="s">
        <v>21</v>
      </c>
      <c r="Q337" s="4" t="s">
        <v>22</v>
      </c>
    </row>
    <row r="338" customFormat="false" ht="15" hidden="false" customHeight="false" outlineLevel="0" collapsed="false">
      <c r="A338" s="3" t="n">
        <v>46288</v>
      </c>
      <c r="B338" s="4" t="s">
        <v>378</v>
      </c>
      <c r="C338" s="4" t="s">
        <v>18</v>
      </c>
      <c r="D338" s="4" t="s">
        <v>19</v>
      </c>
      <c r="E338" s="4" t="s">
        <v>20</v>
      </c>
      <c r="F338" s="5" t="n">
        <v>3802</v>
      </c>
      <c r="G338" s="5" t="n">
        <v>3935</v>
      </c>
      <c r="H338" s="5" t="n">
        <v>80</v>
      </c>
      <c r="I338" s="5" t="n">
        <v>480</v>
      </c>
      <c r="J338" s="5" t="n">
        <v>19</v>
      </c>
      <c r="K338" s="4" t="n">
        <v>9</v>
      </c>
      <c r="L338" s="5" t="n">
        <v>4095</v>
      </c>
      <c r="M338" s="5" t="n">
        <v>1878</v>
      </c>
      <c r="N338" s="4" t="n">
        <v>48</v>
      </c>
      <c r="O338" s="6" t="n">
        <v>1.13</v>
      </c>
      <c r="P338" s="4" t="s">
        <v>21</v>
      </c>
      <c r="Q338" s="4" t="s">
        <v>22</v>
      </c>
    </row>
    <row r="339" customFormat="false" ht="15" hidden="false" customHeight="false" outlineLevel="0" collapsed="false">
      <c r="A339" s="3" t="n">
        <v>46288</v>
      </c>
      <c r="B339" s="4" t="s">
        <v>379</v>
      </c>
      <c r="C339" s="4" t="s">
        <v>24</v>
      </c>
      <c r="D339" s="4" t="s">
        <v>25</v>
      </c>
      <c r="E339" s="4" t="s">
        <v>26</v>
      </c>
      <c r="F339" s="5" t="n">
        <v>1690</v>
      </c>
      <c r="G339" s="5" t="n">
        <v>1720</v>
      </c>
      <c r="H339" s="5" t="n">
        <v>45</v>
      </c>
      <c r="I339" s="5" t="n">
        <v>480</v>
      </c>
      <c r="J339" s="5" t="n">
        <v>0</v>
      </c>
      <c r="K339" s="4" t="n">
        <v>4</v>
      </c>
      <c r="L339" s="5" t="n">
        <v>1784</v>
      </c>
      <c r="M339" s="5" t="n">
        <v>1024</v>
      </c>
      <c r="N339" s="4" t="n">
        <v>48</v>
      </c>
      <c r="O339" s="6" t="n">
        <v>4.88</v>
      </c>
      <c r="P339" s="4" t="s">
        <v>32</v>
      </c>
      <c r="Q339" s="4" t="s">
        <v>22</v>
      </c>
    </row>
    <row r="340" customFormat="false" ht="15" hidden="false" customHeight="false" outlineLevel="0" collapsed="false">
      <c r="A340" s="3" t="n">
        <v>46288</v>
      </c>
      <c r="B340" s="4" t="s">
        <v>380</v>
      </c>
      <c r="C340" s="4" t="s">
        <v>29</v>
      </c>
      <c r="D340" s="4" t="s">
        <v>30</v>
      </c>
      <c r="E340" s="4" t="s">
        <v>31</v>
      </c>
      <c r="F340" s="5" t="n">
        <v>8448</v>
      </c>
      <c r="G340" s="5" t="n">
        <v>8422</v>
      </c>
      <c r="H340" s="5" t="n">
        <v>185</v>
      </c>
      <c r="I340" s="5" t="n">
        <v>480</v>
      </c>
      <c r="J340" s="5" t="n">
        <v>27</v>
      </c>
      <c r="K340" s="4" t="n">
        <v>20</v>
      </c>
      <c r="L340" s="5" t="n">
        <v>8645</v>
      </c>
      <c r="M340" s="5" t="n">
        <v>1387</v>
      </c>
      <c r="N340" s="4" t="n">
        <v>48</v>
      </c>
      <c r="O340" s="6" t="n">
        <v>0.8</v>
      </c>
      <c r="P340" s="4" t="s">
        <v>21</v>
      </c>
      <c r="Q340" s="4" t="s">
        <v>22</v>
      </c>
    </row>
    <row r="341" customFormat="false" ht="15" hidden="false" customHeight="false" outlineLevel="0" collapsed="false">
      <c r="A341" s="3" t="n">
        <v>46288</v>
      </c>
      <c r="B341" s="4" t="s">
        <v>381</v>
      </c>
      <c r="C341" s="4" t="s">
        <v>18</v>
      </c>
      <c r="D341" s="4" t="s">
        <v>34</v>
      </c>
      <c r="E341" s="4" t="s">
        <v>35</v>
      </c>
      <c r="F341" s="5" t="n">
        <v>2112</v>
      </c>
      <c r="G341" s="5" t="n">
        <v>2298</v>
      </c>
      <c r="H341" s="5" t="n">
        <v>82</v>
      </c>
      <c r="I341" s="5" t="n">
        <v>480</v>
      </c>
      <c r="J341" s="5" t="n">
        <v>0</v>
      </c>
      <c r="K341" s="4" t="n">
        <v>5</v>
      </c>
      <c r="L341" s="5" t="n">
        <v>2393</v>
      </c>
      <c r="M341" s="5" t="n">
        <v>1265</v>
      </c>
      <c r="N341" s="4" t="n">
        <v>48</v>
      </c>
      <c r="O341" s="6" t="n">
        <v>3.24</v>
      </c>
      <c r="P341" s="4" t="s">
        <v>32</v>
      </c>
      <c r="Q341" s="4" t="s">
        <v>22</v>
      </c>
    </row>
    <row r="342" customFormat="false" ht="15" hidden="false" customHeight="false" outlineLevel="0" collapsed="false">
      <c r="A342" s="3" t="n">
        <v>46289</v>
      </c>
      <c r="B342" s="4" t="s">
        <v>382</v>
      </c>
      <c r="C342" s="4" t="s">
        <v>24</v>
      </c>
      <c r="D342" s="4" t="s">
        <v>19</v>
      </c>
      <c r="E342" s="4" t="s">
        <v>37</v>
      </c>
      <c r="F342" s="5" t="n">
        <v>2534</v>
      </c>
      <c r="G342" s="5" t="n">
        <v>1621</v>
      </c>
      <c r="H342" s="5" t="n">
        <v>60</v>
      </c>
      <c r="I342" s="5" t="n">
        <v>480</v>
      </c>
      <c r="J342" s="5" t="n">
        <v>194</v>
      </c>
      <c r="K342" s="4" t="n">
        <v>6</v>
      </c>
      <c r="L342" s="5" t="n">
        <v>1676</v>
      </c>
      <c r="M342" s="5" t="n">
        <v>1039</v>
      </c>
      <c r="N342" s="4" t="n">
        <v>48</v>
      </c>
      <c r="O342" s="6" t="n">
        <v>2.27</v>
      </c>
      <c r="P342" s="4" t="s">
        <v>21</v>
      </c>
      <c r="Q342" s="4" t="s">
        <v>22</v>
      </c>
    </row>
    <row r="343" customFormat="false" ht="15" hidden="false" customHeight="false" outlineLevel="0" collapsed="false">
      <c r="A343" s="3" t="n">
        <v>46289</v>
      </c>
      <c r="B343" s="4" t="s">
        <v>383</v>
      </c>
      <c r="C343" s="4" t="s">
        <v>29</v>
      </c>
      <c r="D343" s="4" t="s">
        <v>25</v>
      </c>
      <c r="E343" s="4" t="s">
        <v>40</v>
      </c>
      <c r="F343" s="5" t="n">
        <v>5069</v>
      </c>
      <c r="G343" s="5" t="n">
        <v>4381</v>
      </c>
      <c r="H343" s="5" t="n">
        <v>65</v>
      </c>
      <c r="I343" s="5" t="n">
        <v>480</v>
      </c>
      <c r="J343" s="5" t="n">
        <v>88</v>
      </c>
      <c r="K343" s="4" t="n">
        <v>12</v>
      </c>
      <c r="L343" s="5" t="n">
        <v>4567</v>
      </c>
      <c r="M343" s="5" t="n">
        <v>1432</v>
      </c>
      <c r="N343" s="4" t="n">
        <v>48</v>
      </c>
      <c r="O343" s="6" t="n">
        <v>1.38</v>
      </c>
      <c r="P343" s="4" t="s">
        <v>27</v>
      </c>
      <c r="Q343" s="4" t="s">
        <v>22</v>
      </c>
    </row>
    <row r="344" customFormat="false" ht="15" hidden="false" customHeight="false" outlineLevel="0" collapsed="false">
      <c r="A344" s="3" t="n">
        <v>46289</v>
      </c>
      <c r="B344" s="4" t="s">
        <v>384</v>
      </c>
      <c r="C344" s="4" t="s">
        <v>18</v>
      </c>
      <c r="D344" s="4" t="s">
        <v>30</v>
      </c>
      <c r="E344" s="4" t="s">
        <v>42</v>
      </c>
      <c r="F344" s="5" t="n">
        <v>10560</v>
      </c>
      <c r="G344" s="5" t="n">
        <v>7365</v>
      </c>
      <c r="H344" s="5" t="n">
        <v>62</v>
      </c>
      <c r="I344" s="5" t="n">
        <v>480</v>
      </c>
      <c r="J344" s="5" t="n">
        <v>156</v>
      </c>
      <c r="K344" s="4" t="n">
        <v>25</v>
      </c>
      <c r="L344" s="5" t="n">
        <v>7639</v>
      </c>
      <c r="M344" s="5" t="n">
        <v>811</v>
      </c>
      <c r="N344" s="4" t="n">
        <v>48</v>
      </c>
      <c r="O344" s="6" t="n">
        <v>0.42</v>
      </c>
      <c r="P344" s="4" t="s">
        <v>69</v>
      </c>
      <c r="Q344" s="4" t="s">
        <v>22</v>
      </c>
    </row>
    <row r="345" customFormat="false" ht="15" hidden="false" customHeight="false" outlineLevel="0" collapsed="false">
      <c r="A345" s="3" t="n">
        <v>46289</v>
      </c>
      <c r="B345" s="4" t="s">
        <v>385</v>
      </c>
      <c r="C345" s="4" t="s">
        <v>24</v>
      </c>
      <c r="D345" s="4" t="s">
        <v>34</v>
      </c>
      <c r="E345" s="4" t="s">
        <v>44</v>
      </c>
      <c r="F345" s="5" t="n">
        <v>3379</v>
      </c>
      <c r="G345" s="5" t="n">
        <v>3274</v>
      </c>
      <c r="H345" s="5" t="n">
        <v>104</v>
      </c>
      <c r="I345" s="5" t="n">
        <v>480</v>
      </c>
      <c r="J345" s="5" t="n">
        <v>15</v>
      </c>
      <c r="K345" s="4" t="n">
        <v>8</v>
      </c>
      <c r="L345" s="5" t="n">
        <v>3415</v>
      </c>
      <c r="M345" s="5" t="n">
        <v>2608</v>
      </c>
      <c r="N345" s="4" t="n">
        <v>48</v>
      </c>
      <c r="O345" s="6" t="n">
        <v>2.49</v>
      </c>
      <c r="P345" s="4" t="s">
        <v>69</v>
      </c>
      <c r="Q345" s="4" t="s">
        <v>22</v>
      </c>
    </row>
    <row r="346" customFormat="false" ht="15" hidden="false" customHeight="false" outlineLevel="0" collapsed="false">
      <c r="A346" s="3" t="n">
        <v>46290</v>
      </c>
      <c r="B346" s="4" t="s">
        <v>386</v>
      </c>
      <c r="C346" s="4" t="s">
        <v>29</v>
      </c>
      <c r="D346" s="4" t="s">
        <v>19</v>
      </c>
      <c r="E346" s="4" t="s">
        <v>20</v>
      </c>
      <c r="F346" s="5" t="n">
        <v>3802</v>
      </c>
      <c r="G346" s="5" t="n">
        <v>3608</v>
      </c>
      <c r="H346" s="5" t="n">
        <v>111</v>
      </c>
      <c r="I346" s="5" t="n">
        <v>480</v>
      </c>
      <c r="J346" s="5" t="n">
        <v>43</v>
      </c>
      <c r="K346" s="4" t="n">
        <v>9</v>
      </c>
      <c r="L346" s="5" t="n">
        <v>3776</v>
      </c>
      <c r="M346" s="5" t="n">
        <v>1773</v>
      </c>
      <c r="N346" s="4" t="n">
        <v>48</v>
      </c>
      <c r="O346" s="6" t="n">
        <v>1.1</v>
      </c>
      <c r="P346" s="4" t="s">
        <v>69</v>
      </c>
      <c r="Q346" s="4" t="s">
        <v>22</v>
      </c>
    </row>
    <row r="347" customFormat="false" ht="15" hidden="false" customHeight="false" outlineLevel="0" collapsed="false">
      <c r="A347" s="3" t="n">
        <v>46290</v>
      </c>
      <c r="B347" s="4" t="s">
        <v>387</v>
      </c>
      <c r="C347" s="4" t="s">
        <v>18</v>
      </c>
      <c r="D347" s="4" t="s">
        <v>25</v>
      </c>
      <c r="E347" s="4" t="s">
        <v>26</v>
      </c>
      <c r="F347" s="5" t="n">
        <v>1690</v>
      </c>
      <c r="G347" s="5" t="n">
        <v>1611</v>
      </c>
      <c r="H347" s="5" t="n">
        <v>29</v>
      </c>
      <c r="I347" s="5" t="n">
        <v>480</v>
      </c>
      <c r="J347" s="5" t="n">
        <v>19</v>
      </c>
      <c r="K347" s="4" t="n">
        <v>4</v>
      </c>
      <c r="L347" s="5" t="n">
        <v>1689</v>
      </c>
      <c r="M347" s="5" t="n">
        <v>938</v>
      </c>
      <c r="N347" s="4" t="n">
        <v>48</v>
      </c>
      <c r="O347" s="6" t="n">
        <v>5.01</v>
      </c>
      <c r="P347" s="4" t="s">
        <v>50</v>
      </c>
      <c r="Q347" s="4" t="s">
        <v>22</v>
      </c>
    </row>
    <row r="348" customFormat="false" ht="15" hidden="false" customHeight="false" outlineLevel="0" collapsed="false">
      <c r="A348" s="3" t="n">
        <v>46290</v>
      </c>
      <c r="B348" s="4" t="s">
        <v>388</v>
      </c>
      <c r="C348" s="4" t="s">
        <v>24</v>
      </c>
      <c r="D348" s="4" t="s">
        <v>30</v>
      </c>
      <c r="E348" s="4" t="s">
        <v>31</v>
      </c>
      <c r="F348" s="5" t="n">
        <v>8448</v>
      </c>
      <c r="G348" s="5" t="n">
        <v>6765</v>
      </c>
      <c r="H348" s="5" t="n">
        <v>125</v>
      </c>
      <c r="I348" s="5" t="n">
        <v>480</v>
      </c>
      <c r="J348" s="5" t="n">
        <v>125</v>
      </c>
      <c r="K348" s="4" t="n">
        <v>20</v>
      </c>
      <c r="L348" s="5" t="n">
        <v>6972</v>
      </c>
      <c r="M348" s="5" t="n">
        <v>1033</v>
      </c>
      <c r="N348" s="4" t="n">
        <v>48</v>
      </c>
      <c r="O348" s="6" t="n">
        <v>0.78</v>
      </c>
      <c r="P348" s="4" t="s">
        <v>27</v>
      </c>
      <c r="Q348" s="4" t="s">
        <v>22</v>
      </c>
    </row>
    <row r="349" customFormat="false" ht="15" hidden="false" customHeight="false" outlineLevel="0" collapsed="false">
      <c r="A349" s="3" t="n">
        <v>46290</v>
      </c>
      <c r="B349" s="4" t="s">
        <v>389</v>
      </c>
      <c r="C349" s="4" t="s">
        <v>29</v>
      </c>
      <c r="D349" s="4" t="s">
        <v>34</v>
      </c>
      <c r="E349" s="4" t="s">
        <v>35</v>
      </c>
      <c r="F349" s="5" t="n">
        <v>2112</v>
      </c>
      <c r="G349" s="5" t="n">
        <v>2155</v>
      </c>
      <c r="H349" s="5" t="n">
        <v>184</v>
      </c>
      <c r="I349" s="5" t="n">
        <v>480</v>
      </c>
      <c r="J349" s="5" t="n">
        <v>19</v>
      </c>
      <c r="K349" s="4" t="n">
        <v>5</v>
      </c>
      <c r="L349" s="5" t="n">
        <v>2230</v>
      </c>
      <c r="M349" s="5" t="n">
        <v>1368</v>
      </c>
      <c r="N349" s="4" t="n">
        <v>48</v>
      </c>
      <c r="O349" s="6" t="n">
        <v>3.27</v>
      </c>
      <c r="P349" s="4" t="s">
        <v>55</v>
      </c>
      <c r="Q349" s="4" t="s">
        <v>22</v>
      </c>
    </row>
    <row r="350" customFormat="false" ht="15" hidden="false" customHeight="false" outlineLevel="0" collapsed="false">
      <c r="A350" s="3" t="n">
        <v>46291</v>
      </c>
      <c r="B350" s="4" t="s">
        <v>390</v>
      </c>
      <c r="C350" s="4" t="s">
        <v>18</v>
      </c>
      <c r="D350" s="4" t="s">
        <v>19</v>
      </c>
      <c r="E350" s="4" t="s">
        <v>37</v>
      </c>
      <c r="F350" s="5" t="n">
        <v>2534</v>
      </c>
      <c r="G350" s="5" t="n">
        <v>2032</v>
      </c>
      <c r="H350" s="5" t="n">
        <v>64</v>
      </c>
      <c r="I350" s="5" t="n">
        <v>480</v>
      </c>
      <c r="J350" s="5" t="n">
        <v>96</v>
      </c>
      <c r="K350" s="4" t="n">
        <v>6</v>
      </c>
      <c r="L350" s="5" t="n">
        <v>2130</v>
      </c>
      <c r="M350" s="5" t="n">
        <v>1132</v>
      </c>
      <c r="N350" s="4" t="n">
        <v>48</v>
      </c>
      <c r="O350" s="6" t="n">
        <v>2.26</v>
      </c>
      <c r="P350" s="4" t="s">
        <v>65</v>
      </c>
      <c r="Q350" s="4" t="s">
        <v>22</v>
      </c>
    </row>
    <row r="351" customFormat="false" ht="15" hidden="false" customHeight="false" outlineLevel="0" collapsed="false">
      <c r="A351" s="3" t="n">
        <v>46291</v>
      </c>
      <c r="B351" s="4" t="s">
        <v>391</v>
      </c>
      <c r="C351" s="4" t="s">
        <v>24</v>
      </c>
      <c r="D351" s="4" t="s">
        <v>25</v>
      </c>
      <c r="E351" s="4" t="s">
        <v>40</v>
      </c>
      <c r="F351" s="5" t="n">
        <v>5069</v>
      </c>
      <c r="G351" s="5" t="n">
        <v>5050</v>
      </c>
      <c r="H351" s="5" t="n">
        <v>132</v>
      </c>
      <c r="I351" s="5" t="n">
        <v>480</v>
      </c>
      <c r="J351" s="5" t="n">
        <v>0</v>
      </c>
      <c r="K351" s="4" t="n">
        <v>12</v>
      </c>
      <c r="L351" s="5" t="n">
        <v>5187</v>
      </c>
      <c r="M351" s="5" t="n">
        <v>1578</v>
      </c>
      <c r="N351" s="4" t="n">
        <v>48</v>
      </c>
      <c r="O351" s="6" t="n">
        <v>1.39</v>
      </c>
      <c r="P351" s="4" t="s">
        <v>32</v>
      </c>
      <c r="Q351" s="4" t="s">
        <v>22</v>
      </c>
    </row>
    <row r="352" customFormat="false" ht="15" hidden="false" customHeight="false" outlineLevel="0" collapsed="false">
      <c r="A352" s="3" t="n">
        <v>46291</v>
      </c>
      <c r="B352" s="4" t="s">
        <v>392</v>
      </c>
      <c r="C352" s="4" t="s">
        <v>29</v>
      </c>
      <c r="D352" s="4" t="s">
        <v>30</v>
      </c>
      <c r="E352" s="4" t="s">
        <v>42</v>
      </c>
      <c r="F352" s="5" t="n">
        <v>10560</v>
      </c>
      <c r="G352" s="5" t="n">
        <v>9653</v>
      </c>
      <c r="H352" s="5" t="n">
        <v>93</v>
      </c>
      <c r="I352" s="5" t="n">
        <v>480</v>
      </c>
      <c r="J352" s="5" t="n">
        <v>24</v>
      </c>
      <c r="K352" s="4" t="n">
        <v>25</v>
      </c>
      <c r="L352" s="5" t="n">
        <v>9920</v>
      </c>
      <c r="M352" s="5" t="n">
        <v>1043</v>
      </c>
      <c r="N352" s="4" t="n">
        <v>48</v>
      </c>
      <c r="O352" s="6" t="n">
        <v>0.42</v>
      </c>
      <c r="P352" s="4" t="s">
        <v>21</v>
      </c>
      <c r="Q352" s="4" t="s">
        <v>22</v>
      </c>
    </row>
    <row r="353" customFormat="false" ht="15" hidden="false" customHeight="false" outlineLevel="0" collapsed="false">
      <c r="A353" s="3" t="n">
        <v>46291</v>
      </c>
      <c r="B353" s="4" t="s">
        <v>393</v>
      </c>
      <c r="C353" s="4" t="s">
        <v>18</v>
      </c>
      <c r="D353" s="4" t="s">
        <v>34</v>
      </c>
      <c r="E353" s="4" t="s">
        <v>44</v>
      </c>
      <c r="F353" s="5" t="n">
        <v>3379</v>
      </c>
      <c r="G353" s="5" t="n">
        <v>3642</v>
      </c>
      <c r="H353" s="5" t="n">
        <v>163</v>
      </c>
      <c r="I353" s="5" t="n">
        <v>480</v>
      </c>
      <c r="J353" s="5" t="n">
        <v>0</v>
      </c>
      <c r="K353" s="4" t="n">
        <v>8</v>
      </c>
      <c r="L353" s="5" t="n">
        <v>3768</v>
      </c>
      <c r="M353" s="5" t="n">
        <v>2702</v>
      </c>
      <c r="N353" s="4" t="n">
        <v>48</v>
      </c>
      <c r="O353" s="6" t="n">
        <v>2.38</v>
      </c>
      <c r="P353" s="4" t="s">
        <v>32</v>
      </c>
      <c r="Q353" s="4" t="s">
        <v>22</v>
      </c>
    </row>
    <row r="354" customFormat="false" ht="15" hidden="false" customHeight="false" outlineLevel="0" collapsed="false">
      <c r="A354" s="3" t="n">
        <v>46292</v>
      </c>
      <c r="B354" s="4" t="s">
        <v>394</v>
      </c>
      <c r="C354" s="4" t="s">
        <v>24</v>
      </c>
      <c r="D354" s="4" t="s">
        <v>19</v>
      </c>
      <c r="E354" s="4" t="s">
        <v>20</v>
      </c>
      <c r="F354" s="5" t="n">
        <v>3802</v>
      </c>
      <c r="G354" s="5" t="n">
        <v>3996</v>
      </c>
      <c r="H354" s="5" t="n">
        <v>92</v>
      </c>
      <c r="I354" s="5" t="n">
        <v>480</v>
      </c>
      <c r="J354" s="5" t="n">
        <v>0</v>
      </c>
      <c r="K354" s="4" t="n">
        <v>9</v>
      </c>
      <c r="L354" s="5" t="n">
        <v>4112</v>
      </c>
      <c r="M354" s="5" t="n">
        <v>1645</v>
      </c>
      <c r="N354" s="4" t="n">
        <v>48</v>
      </c>
      <c r="O354" s="6" t="n">
        <v>1.14</v>
      </c>
      <c r="P354" s="4" t="s">
        <v>32</v>
      </c>
      <c r="Q354" s="4" t="s">
        <v>22</v>
      </c>
    </row>
    <row r="355" customFormat="false" ht="15" hidden="false" customHeight="false" outlineLevel="0" collapsed="false">
      <c r="A355" s="3" t="n">
        <v>46292</v>
      </c>
      <c r="B355" s="4" t="s">
        <v>395</v>
      </c>
      <c r="C355" s="4" t="s">
        <v>29</v>
      </c>
      <c r="D355" s="4" t="s">
        <v>25</v>
      </c>
      <c r="E355" s="4" t="s">
        <v>26</v>
      </c>
      <c r="F355" s="5" t="n">
        <v>1690</v>
      </c>
      <c r="G355" s="5" t="n">
        <v>1131</v>
      </c>
      <c r="H355" s="5" t="n">
        <v>31</v>
      </c>
      <c r="I355" s="5" t="n">
        <v>480</v>
      </c>
      <c r="J355" s="5" t="n">
        <v>150</v>
      </c>
      <c r="K355" s="4" t="n">
        <v>4</v>
      </c>
      <c r="L355" s="5" t="n">
        <v>1180</v>
      </c>
      <c r="M355" s="5" t="n">
        <v>628</v>
      </c>
      <c r="N355" s="4" t="n">
        <v>48</v>
      </c>
      <c r="O355" s="6" t="n">
        <v>4.99</v>
      </c>
      <c r="P355" s="4" t="s">
        <v>21</v>
      </c>
      <c r="Q355" s="4" t="s">
        <v>22</v>
      </c>
    </row>
    <row r="356" customFormat="false" ht="15" hidden="false" customHeight="false" outlineLevel="0" collapsed="false">
      <c r="A356" s="3" t="n">
        <v>46292</v>
      </c>
      <c r="B356" s="4" t="s">
        <v>396</v>
      </c>
      <c r="C356" s="4" t="s">
        <v>18</v>
      </c>
      <c r="D356" s="4" t="s">
        <v>30</v>
      </c>
      <c r="E356" s="4" t="s">
        <v>31</v>
      </c>
      <c r="F356" s="5" t="n">
        <v>8448</v>
      </c>
      <c r="G356" s="5" t="n">
        <v>7509</v>
      </c>
      <c r="H356" s="5" t="n">
        <v>153</v>
      </c>
      <c r="I356" s="5" t="n">
        <v>480</v>
      </c>
      <c r="J356" s="5" t="n">
        <v>45</v>
      </c>
      <c r="K356" s="4" t="n">
        <v>20</v>
      </c>
      <c r="L356" s="5" t="n">
        <v>7728</v>
      </c>
      <c r="M356" s="5" t="n">
        <v>1214</v>
      </c>
      <c r="N356" s="4" t="n">
        <v>48</v>
      </c>
      <c r="O356" s="6" t="n">
        <v>0.78</v>
      </c>
      <c r="P356" s="4" t="s">
        <v>50</v>
      </c>
      <c r="Q356" s="4" t="s">
        <v>22</v>
      </c>
    </row>
    <row r="357" customFormat="false" ht="15" hidden="false" customHeight="false" outlineLevel="0" collapsed="false">
      <c r="A357" s="3" t="n">
        <v>46292</v>
      </c>
      <c r="B357" s="4" t="s">
        <v>397</v>
      </c>
      <c r="C357" s="4" t="s">
        <v>24</v>
      </c>
      <c r="D357" s="4" t="s">
        <v>34</v>
      </c>
      <c r="E357" s="4" t="s">
        <v>35</v>
      </c>
      <c r="F357" s="5" t="n">
        <v>2112</v>
      </c>
      <c r="G357" s="5" t="n">
        <v>2139</v>
      </c>
      <c r="H357" s="5" t="n">
        <v>133</v>
      </c>
      <c r="I357" s="5" t="n">
        <v>480</v>
      </c>
      <c r="J357" s="5" t="n">
        <v>21</v>
      </c>
      <c r="K357" s="4" t="n">
        <v>5</v>
      </c>
      <c r="L357" s="5" t="n">
        <v>2207</v>
      </c>
      <c r="M357" s="5" t="n">
        <v>1181</v>
      </c>
      <c r="N357" s="4" t="n">
        <v>48</v>
      </c>
      <c r="O357" s="6" t="n">
        <v>3.13</v>
      </c>
      <c r="P357" s="4" t="s">
        <v>27</v>
      </c>
      <c r="Q357" s="4" t="s">
        <v>22</v>
      </c>
    </row>
    <row r="358" customFormat="false" ht="15" hidden="false" customHeight="false" outlineLevel="0" collapsed="false">
      <c r="A358" s="3" t="n">
        <v>46293</v>
      </c>
      <c r="B358" s="4" t="s">
        <v>398</v>
      </c>
      <c r="C358" s="4" t="s">
        <v>29</v>
      </c>
      <c r="D358" s="4" t="s">
        <v>19</v>
      </c>
      <c r="E358" s="4" t="s">
        <v>37</v>
      </c>
      <c r="F358" s="5" t="n">
        <v>2534</v>
      </c>
      <c r="G358" s="5" t="n">
        <v>2139</v>
      </c>
      <c r="H358" s="5" t="n">
        <v>73</v>
      </c>
      <c r="I358" s="5" t="n">
        <v>480</v>
      </c>
      <c r="J358" s="5" t="n">
        <v>73</v>
      </c>
      <c r="K358" s="4" t="n">
        <v>6</v>
      </c>
      <c r="L358" s="5" t="n">
        <v>2208</v>
      </c>
      <c r="M358" s="5" t="n">
        <v>1325</v>
      </c>
      <c r="N358" s="4" t="n">
        <v>48</v>
      </c>
      <c r="O358" s="6" t="n">
        <v>2.24</v>
      </c>
      <c r="P358" s="4" t="s">
        <v>21</v>
      </c>
      <c r="Q358" s="4" t="s">
        <v>22</v>
      </c>
    </row>
    <row r="359" customFormat="false" ht="15" hidden="false" customHeight="false" outlineLevel="0" collapsed="false">
      <c r="A359" s="3" t="n">
        <v>46293</v>
      </c>
      <c r="B359" s="4" t="s">
        <v>399</v>
      </c>
      <c r="C359" s="4" t="s">
        <v>18</v>
      </c>
      <c r="D359" s="4" t="s">
        <v>25</v>
      </c>
      <c r="E359" s="4" t="s">
        <v>40</v>
      </c>
      <c r="F359" s="5" t="n">
        <v>5069</v>
      </c>
      <c r="G359" s="5" t="n">
        <v>4761</v>
      </c>
      <c r="H359" s="5" t="n">
        <v>121</v>
      </c>
      <c r="I359" s="5" t="n">
        <v>480</v>
      </c>
      <c r="J359" s="5" t="n">
        <v>23</v>
      </c>
      <c r="K359" s="4" t="n">
        <v>12</v>
      </c>
      <c r="L359" s="5" t="n">
        <v>4917</v>
      </c>
      <c r="M359" s="5" t="n">
        <v>1399</v>
      </c>
      <c r="N359" s="4" t="n">
        <v>48</v>
      </c>
      <c r="O359" s="6" t="n">
        <v>1.38</v>
      </c>
      <c r="P359" s="4" t="s">
        <v>50</v>
      </c>
      <c r="Q359" s="4" t="s">
        <v>22</v>
      </c>
    </row>
    <row r="360" customFormat="false" ht="15" hidden="false" customHeight="false" outlineLevel="0" collapsed="false">
      <c r="A360" s="3" t="n">
        <v>46293</v>
      </c>
      <c r="B360" s="4" t="s">
        <v>400</v>
      </c>
      <c r="C360" s="4" t="s">
        <v>24</v>
      </c>
      <c r="D360" s="4" t="s">
        <v>30</v>
      </c>
      <c r="E360" s="4" t="s">
        <v>42</v>
      </c>
      <c r="F360" s="5" t="n">
        <v>10560</v>
      </c>
      <c r="G360" s="5" t="n">
        <v>10434</v>
      </c>
      <c r="H360" s="5" t="n">
        <v>93</v>
      </c>
      <c r="I360" s="5" t="n">
        <v>480</v>
      </c>
      <c r="J360" s="5" t="n">
        <v>40</v>
      </c>
      <c r="K360" s="4" t="n">
        <v>25</v>
      </c>
      <c r="L360" s="5" t="n">
        <v>10811</v>
      </c>
      <c r="M360" s="5" t="n">
        <v>1193</v>
      </c>
      <c r="N360" s="4" t="n">
        <v>48</v>
      </c>
      <c r="O360" s="6" t="n">
        <v>0.42</v>
      </c>
      <c r="P360" s="4" t="s">
        <v>21</v>
      </c>
      <c r="Q360" s="4" t="s">
        <v>22</v>
      </c>
    </row>
    <row r="361" customFormat="false" ht="15" hidden="false" customHeight="false" outlineLevel="0" collapsed="false">
      <c r="A361" s="3" t="n">
        <v>46293</v>
      </c>
      <c r="B361" s="4" t="s">
        <v>401</v>
      </c>
      <c r="C361" s="4" t="s">
        <v>29</v>
      </c>
      <c r="D361" s="4" t="s">
        <v>34</v>
      </c>
      <c r="E361" s="4" t="s">
        <v>44</v>
      </c>
      <c r="F361" s="5" t="n">
        <v>3379</v>
      </c>
      <c r="G361" s="5" t="n">
        <v>3359</v>
      </c>
      <c r="H361" s="5" t="n">
        <v>121</v>
      </c>
      <c r="I361" s="5" t="n">
        <v>480</v>
      </c>
      <c r="J361" s="5" t="n">
        <v>17</v>
      </c>
      <c r="K361" s="4" t="n">
        <v>8</v>
      </c>
      <c r="L361" s="5" t="n">
        <v>3472</v>
      </c>
      <c r="M361" s="5" t="n">
        <v>2489</v>
      </c>
      <c r="N361" s="4" t="n">
        <v>48</v>
      </c>
      <c r="O361" s="6" t="n">
        <v>2.51</v>
      </c>
      <c r="P361" s="4" t="s">
        <v>55</v>
      </c>
      <c r="Q361" s="4" t="s">
        <v>22</v>
      </c>
    </row>
    <row r="362" customFormat="false" ht="15" hidden="false" customHeight="false" outlineLevel="0" collapsed="false">
      <c r="A362" s="3" t="n">
        <v>46294</v>
      </c>
      <c r="B362" s="4" t="s">
        <v>402</v>
      </c>
      <c r="C362" s="4" t="s">
        <v>18</v>
      </c>
      <c r="D362" s="4" t="s">
        <v>19</v>
      </c>
      <c r="E362" s="4" t="s">
        <v>20</v>
      </c>
      <c r="F362" s="5" t="n">
        <v>3802</v>
      </c>
      <c r="G362" s="5" t="n">
        <v>3304</v>
      </c>
      <c r="H362" s="5" t="n">
        <v>68</v>
      </c>
      <c r="I362" s="5" t="n">
        <v>480</v>
      </c>
      <c r="J362" s="5" t="n">
        <v>73</v>
      </c>
      <c r="K362" s="4" t="n">
        <v>9</v>
      </c>
      <c r="L362" s="5" t="n">
        <v>3458</v>
      </c>
      <c r="M362" s="5" t="n">
        <v>1479</v>
      </c>
      <c r="N362" s="4" t="n">
        <v>48</v>
      </c>
      <c r="O362" s="6" t="n">
        <v>1.14</v>
      </c>
      <c r="P362" s="4" t="s">
        <v>38</v>
      </c>
      <c r="Q362" s="4" t="s">
        <v>22</v>
      </c>
    </row>
    <row r="363" customFormat="false" ht="15" hidden="false" customHeight="false" outlineLevel="0" collapsed="false">
      <c r="A363" s="3" t="n">
        <v>46294</v>
      </c>
      <c r="B363" s="4" t="s">
        <v>403</v>
      </c>
      <c r="C363" s="4" t="s">
        <v>24</v>
      </c>
      <c r="D363" s="4" t="s">
        <v>25</v>
      </c>
      <c r="E363" s="4" t="s">
        <v>26</v>
      </c>
      <c r="F363" s="5" t="n">
        <v>1690</v>
      </c>
      <c r="G363" s="5" t="n">
        <v>1314</v>
      </c>
      <c r="H363" s="5" t="n">
        <v>43</v>
      </c>
      <c r="I363" s="5" t="n">
        <v>480</v>
      </c>
      <c r="J363" s="5" t="n">
        <v>119</v>
      </c>
      <c r="K363" s="4" t="n">
        <v>4</v>
      </c>
      <c r="L363" s="5" t="n">
        <v>1373</v>
      </c>
      <c r="M363" s="5" t="n">
        <v>748</v>
      </c>
      <c r="N363" s="4" t="n">
        <v>48</v>
      </c>
      <c r="O363" s="6" t="n">
        <v>4.91</v>
      </c>
      <c r="P363" s="4" t="s">
        <v>55</v>
      </c>
      <c r="Q363" s="4" t="s">
        <v>22</v>
      </c>
    </row>
    <row r="364" customFormat="false" ht="15" hidden="false" customHeight="false" outlineLevel="0" collapsed="false">
      <c r="A364" s="3" t="n">
        <v>46294</v>
      </c>
      <c r="B364" s="4" t="s">
        <v>404</v>
      </c>
      <c r="C364" s="4" t="s">
        <v>29</v>
      </c>
      <c r="D364" s="4" t="s">
        <v>30</v>
      </c>
      <c r="E364" s="4" t="s">
        <v>31</v>
      </c>
      <c r="F364" s="5" t="n">
        <v>8448</v>
      </c>
      <c r="G364" s="5" t="n">
        <v>8230</v>
      </c>
      <c r="H364" s="5" t="n">
        <v>206</v>
      </c>
      <c r="I364" s="5" t="n">
        <v>480</v>
      </c>
      <c r="J364" s="5" t="n">
        <v>0</v>
      </c>
      <c r="K364" s="4" t="n">
        <v>20</v>
      </c>
      <c r="L364" s="5" t="n">
        <v>8636</v>
      </c>
      <c r="M364" s="5" t="n">
        <v>1311</v>
      </c>
      <c r="N364" s="4" t="n">
        <v>48</v>
      </c>
      <c r="O364" s="6" t="n">
        <v>0.78</v>
      </c>
      <c r="P364" s="4" t="s">
        <v>32</v>
      </c>
      <c r="Q364" s="4" t="s">
        <v>22</v>
      </c>
    </row>
    <row r="365" customFormat="false" ht="15" hidden="false" customHeight="false" outlineLevel="0" collapsed="false">
      <c r="A365" s="3" t="n">
        <v>46294</v>
      </c>
      <c r="B365" s="4" t="s">
        <v>405</v>
      </c>
      <c r="C365" s="4" t="s">
        <v>18</v>
      </c>
      <c r="D365" s="4" t="s">
        <v>34</v>
      </c>
      <c r="E365" s="4" t="s">
        <v>35</v>
      </c>
      <c r="F365" s="5" t="n">
        <v>2112</v>
      </c>
      <c r="G365" s="5" t="n">
        <v>2168</v>
      </c>
      <c r="H365" s="5" t="n">
        <v>159</v>
      </c>
      <c r="I365" s="5" t="n">
        <v>480</v>
      </c>
      <c r="J365" s="5" t="n">
        <v>0</v>
      </c>
      <c r="K365" s="4" t="n">
        <v>5</v>
      </c>
      <c r="L365" s="5" t="n">
        <v>2256</v>
      </c>
      <c r="M365" s="5" t="n">
        <v>1336</v>
      </c>
      <c r="N365" s="4" t="n">
        <v>48</v>
      </c>
      <c r="O365" s="6" t="n">
        <v>3.13</v>
      </c>
      <c r="P365" s="4" t="s">
        <v>32</v>
      </c>
      <c r="Q365" s="4" t="s">
        <v>22</v>
      </c>
    </row>
    <row r="366" customFormat="false" ht="15" hidden="false" customHeight="false" outlineLevel="0" collapsed="false">
      <c r="A366" s="3" t="n">
        <v>46295</v>
      </c>
      <c r="B366" s="4" t="s">
        <v>406</v>
      </c>
      <c r="C366" s="4" t="s">
        <v>24</v>
      </c>
      <c r="D366" s="4" t="s">
        <v>19</v>
      </c>
      <c r="E366" s="4" t="s">
        <v>37</v>
      </c>
      <c r="F366" s="5" t="n">
        <v>2534</v>
      </c>
      <c r="G366" s="5" t="n">
        <v>2496</v>
      </c>
      <c r="H366" s="5" t="n">
        <v>68</v>
      </c>
      <c r="I366" s="5" t="n">
        <v>480</v>
      </c>
      <c r="J366" s="5" t="n">
        <v>0</v>
      </c>
      <c r="K366" s="4" t="n">
        <v>6</v>
      </c>
      <c r="L366" s="5" t="n">
        <v>2583</v>
      </c>
      <c r="M366" s="5" t="n">
        <v>1446</v>
      </c>
      <c r="N366" s="4" t="n">
        <v>48</v>
      </c>
      <c r="O366" s="6" t="n">
        <v>2.2</v>
      </c>
      <c r="P366" s="4" t="s">
        <v>32</v>
      </c>
      <c r="Q366" s="4" t="s">
        <v>22</v>
      </c>
    </row>
    <row r="367" customFormat="false" ht="15" hidden="false" customHeight="false" outlineLevel="0" collapsed="false">
      <c r="A367" s="3" t="n">
        <v>46295</v>
      </c>
      <c r="B367" s="4" t="s">
        <v>407</v>
      </c>
      <c r="C367" s="4" t="s">
        <v>29</v>
      </c>
      <c r="D367" s="4" t="s">
        <v>25</v>
      </c>
      <c r="E367" s="4" t="s">
        <v>40</v>
      </c>
      <c r="F367" s="5" t="n">
        <v>5069</v>
      </c>
      <c r="G367" s="5" t="n">
        <v>5291</v>
      </c>
      <c r="H367" s="5" t="n">
        <v>139</v>
      </c>
      <c r="I367" s="5" t="n">
        <v>480</v>
      </c>
      <c r="J367" s="5" t="n">
        <v>0</v>
      </c>
      <c r="K367" s="4" t="n">
        <v>12</v>
      </c>
      <c r="L367" s="5" t="n">
        <v>5492</v>
      </c>
      <c r="M367" s="5" t="n">
        <v>1562</v>
      </c>
      <c r="N367" s="4" t="n">
        <v>48</v>
      </c>
      <c r="O367" s="6" t="n">
        <v>1.37</v>
      </c>
      <c r="P367" s="4" t="s">
        <v>32</v>
      </c>
      <c r="Q367" s="4" t="s">
        <v>22</v>
      </c>
    </row>
    <row r="368" customFormat="false" ht="15" hidden="false" customHeight="false" outlineLevel="0" collapsed="false">
      <c r="A368" s="3" t="n">
        <v>46295</v>
      </c>
      <c r="B368" s="4" t="s">
        <v>408</v>
      </c>
      <c r="C368" s="4" t="s">
        <v>18</v>
      </c>
      <c r="D368" s="4" t="s">
        <v>30</v>
      </c>
      <c r="E368" s="4" t="s">
        <v>42</v>
      </c>
      <c r="F368" s="5" t="n">
        <v>10560</v>
      </c>
      <c r="G368" s="5" t="n">
        <v>10001</v>
      </c>
      <c r="H368" s="5" t="n">
        <v>105</v>
      </c>
      <c r="I368" s="5" t="n">
        <v>480</v>
      </c>
      <c r="J368" s="5" t="n">
        <v>60</v>
      </c>
      <c r="K368" s="4" t="n">
        <v>25</v>
      </c>
      <c r="L368" s="5" t="n">
        <v>10276</v>
      </c>
      <c r="M368" s="5" t="n">
        <v>1149</v>
      </c>
      <c r="N368" s="4" t="n">
        <v>48</v>
      </c>
      <c r="O368" s="6" t="n">
        <v>0.42</v>
      </c>
      <c r="P368" s="4" t="s">
        <v>69</v>
      </c>
      <c r="Q368" s="4" t="s">
        <v>22</v>
      </c>
    </row>
    <row r="369" customFormat="false" ht="15" hidden="false" customHeight="false" outlineLevel="0" collapsed="false">
      <c r="A369" s="3" t="n">
        <v>46295</v>
      </c>
      <c r="B369" s="4" t="s">
        <v>409</v>
      </c>
      <c r="C369" s="4" t="s">
        <v>24</v>
      </c>
      <c r="D369" s="4" t="s">
        <v>34</v>
      </c>
      <c r="E369" s="4" t="s">
        <v>44</v>
      </c>
      <c r="F369" s="5" t="n">
        <v>3379</v>
      </c>
      <c r="G369" s="5" t="n">
        <v>3315</v>
      </c>
      <c r="H369" s="5" t="n">
        <v>94</v>
      </c>
      <c r="I369" s="5" t="n">
        <v>480</v>
      </c>
      <c r="J369" s="5" t="n">
        <v>30</v>
      </c>
      <c r="K369" s="4" t="n">
        <v>8</v>
      </c>
      <c r="L369" s="5" t="n">
        <v>3421</v>
      </c>
      <c r="M369" s="5" t="n">
        <v>2263</v>
      </c>
      <c r="N369" s="4" t="n">
        <v>48</v>
      </c>
      <c r="O369" s="6" t="n">
        <v>2.45</v>
      </c>
      <c r="P369" s="4" t="s">
        <v>50</v>
      </c>
      <c r="Q369" s="4" t="s">
        <v>22</v>
      </c>
    </row>
  </sheetData>
  <autoFilter ref="A1:Q3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30" min="4" style="1" width="14"/>
  </cols>
  <sheetData>
    <row r="1" customFormat="false" ht="19.7" hidden="false" customHeight="false" outlineLevel="0" collapsed="false">
      <c r="A1" s="7" t="s">
        <v>410</v>
      </c>
    </row>
    <row r="2" customFormat="false" ht="15" hidden="false" customHeight="false" outlineLevel="0" collapsed="false">
      <c r="A2" s="8" t="s">
        <v>411</v>
      </c>
    </row>
    <row r="4" customFormat="false" ht="15" hidden="false" customHeight="false" outlineLevel="0" collapsed="false">
      <c r="A4" s="9" t="s">
        <v>412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11" t="s">
        <v>413</v>
      </c>
      <c r="B5" s="12" t="n">
        <v>0.85</v>
      </c>
      <c r="C5" s="8" t="s">
        <v>414</v>
      </c>
    </row>
    <row r="6" customFormat="false" ht="15" hidden="false" customHeight="false" outlineLevel="0" collapsed="false">
      <c r="A6" s="11" t="s">
        <v>415</v>
      </c>
      <c r="B6" s="12" t="n">
        <v>0.03</v>
      </c>
      <c r="C6" s="8" t="s">
        <v>416</v>
      </c>
    </row>
    <row r="7" customFormat="false" ht="15" hidden="false" customHeight="false" outlineLevel="0" collapsed="false">
      <c r="A7" s="11" t="s">
        <v>417</v>
      </c>
      <c r="B7" s="12" t="n">
        <v>0.01</v>
      </c>
      <c r="C7" s="8" t="s">
        <v>418</v>
      </c>
    </row>
    <row r="8" customFormat="false" ht="15" hidden="false" customHeight="false" outlineLevel="0" collapsed="false">
      <c r="A8" s="11" t="s">
        <v>419</v>
      </c>
      <c r="B8" s="12" t="n">
        <v>0.3</v>
      </c>
      <c r="C8" s="8" t="s">
        <v>420</v>
      </c>
    </row>
    <row r="9" customFormat="false" ht="15" hidden="false" customHeight="false" outlineLevel="0" collapsed="false">
      <c r="A9" s="11" t="s">
        <v>421</v>
      </c>
      <c r="B9" s="13" t="n">
        <v>0.12</v>
      </c>
      <c r="C9" s="8" t="s">
        <v>422</v>
      </c>
    </row>
    <row r="10" customFormat="false" ht="15" hidden="false" customHeight="false" outlineLevel="0" collapsed="false">
      <c r="A10" s="11" t="s">
        <v>423</v>
      </c>
      <c r="B10" s="14" t="n">
        <v>18</v>
      </c>
      <c r="C10" s="8" t="s">
        <v>424</v>
      </c>
    </row>
    <row r="12" customFormat="false" ht="15" hidden="false" customHeight="false" outlineLevel="0" collapsed="false">
      <c r="A12" s="9" t="s">
        <v>425</v>
      </c>
      <c r="B12" s="10"/>
      <c r="C12" s="10"/>
      <c r="D12" s="10"/>
      <c r="E12" s="10"/>
      <c r="F12" s="10"/>
    </row>
    <row r="13" customFormat="false" ht="42" hidden="false" customHeight="true" outlineLevel="0" collapsed="false">
      <c r="A13" s="2" t="s">
        <v>4</v>
      </c>
      <c r="B13" s="2" t="s">
        <v>3</v>
      </c>
      <c r="C13" s="2" t="s">
        <v>426</v>
      </c>
    </row>
    <row r="14" customFormat="false" ht="15" hidden="false" customHeight="false" outlineLevel="0" collapsed="false">
      <c r="A14" s="11" t="s">
        <v>20</v>
      </c>
      <c r="B14" s="11" t="s">
        <v>19</v>
      </c>
      <c r="C14" s="13" t="n">
        <v>2.8</v>
      </c>
    </row>
    <row r="15" customFormat="false" ht="15" hidden="false" customHeight="false" outlineLevel="0" collapsed="false">
      <c r="A15" s="11" t="s">
        <v>37</v>
      </c>
      <c r="B15" s="11" t="s">
        <v>19</v>
      </c>
      <c r="C15" s="13" t="n">
        <v>5.5</v>
      </c>
    </row>
    <row r="16" customFormat="false" ht="15" hidden="false" customHeight="false" outlineLevel="0" collapsed="false">
      <c r="A16" s="11" t="s">
        <v>40</v>
      </c>
      <c r="B16" s="11" t="s">
        <v>25</v>
      </c>
      <c r="C16" s="13" t="n">
        <v>3.2</v>
      </c>
    </row>
    <row r="17" customFormat="false" ht="15" hidden="false" customHeight="false" outlineLevel="0" collapsed="false">
      <c r="A17" s="11" t="s">
        <v>26</v>
      </c>
      <c r="B17" s="11" t="s">
        <v>25</v>
      </c>
      <c r="C17" s="13" t="n">
        <v>9.5</v>
      </c>
    </row>
    <row r="18" customFormat="false" ht="15" hidden="false" customHeight="false" outlineLevel="0" collapsed="false">
      <c r="A18" s="11" t="s">
        <v>31</v>
      </c>
      <c r="B18" s="11" t="s">
        <v>30</v>
      </c>
      <c r="C18" s="13" t="n">
        <v>1.9</v>
      </c>
    </row>
    <row r="19" customFormat="false" ht="15" hidden="false" customHeight="false" outlineLevel="0" collapsed="false">
      <c r="A19" s="11" t="s">
        <v>42</v>
      </c>
      <c r="B19" s="11" t="s">
        <v>30</v>
      </c>
      <c r="C19" s="13" t="n">
        <v>1.2</v>
      </c>
    </row>
    <row r="20" customFormat="false" ht="15" hidden="false" customHeight="false" outlineLevel="0" collapsed="false">
      <c r="A20" s="11" t="s">
        <v>44</v>
      </c>
      <c r="B20" s="11" t="s">
        <v>34</v>
      </c>
      <c r="C20" s="13" t="n">
        <v>6</v>
      </c>
    </row>
    <row r="21" customFormat="false" ht="15" hidden="false" customHeight="false" outlineLevel="0" collapsed="false">
      <c r="A21" s="11" t="s">
        <v>35</v>
      </c>
      <c r="B21" s="11" t="s">
        <v>34</v>
      </c>
      <c r="C21" s="13" t="n">
        <v>7</v>
      </c>
    </row>
    <row r="22" customFormat="false" ht="15" hidden="false" customHeight="false" outlineLevel="0" collapsed="false">
      <c r="A22" s="8" t="s">
        <v>427</v>
      </c>
    </row>
    <row r="23" customFormat="false" ht="15" hidden="false" customHeight="false" outlineLevel="0" collapsed="false">
      <c r="A23" s="9" t="s">
        <v>428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customFormat="false" ht="42" hidden="false" customHeight="true" outlineLevel="0" collapsed="false">
      <c r="A24" s="2" t="s">
        <v>3</v>
      </c>
      <c r="B24" s="2" t="s">
        <v>429</v>
      </c>
      <c r="C24" s="2" t="s">
        <v>430</v>
      </c>
      <c r="D24" s="2" t="s">
        <v>431</v>
      </c>
      <c r="E24" s="2" t="s">
        <v>432</v>
      </c>
      <c r="F24" s="2" t="s">
        <v>433</v>
      </c>
      <c r="G24" s="2" t="s">
        <v>434</v>
      </c>
      <c r="H24" s="2" t="s">
        <v>8</v>
      </c>
      <c r="I24" s="2" t="s">
        <v>9</v>
      </c>
      <c r="J24" s="2" t="s">
        <v>435</v>
      </c>
      <c r="K24" s="2" t="s">
        <v>436</v>
      </c>
      <c r="L24" s="2" t="s">
        <v>437</v>
      </c>
      <c r="M24" s="2" t="s">
        <v>438</v>
      </c>
      <c r="N24" s="2" t="s">
        <v>439</v>
      </c>
      <c r="O24" s="2" t="s">
        <v>11</v>
      </c>
      <c r="P24" s="2" t="s">
        <v>12</v>
      </c>
      <c r="Q24" s="2" t="s">
        <v>440</v>
      </c>
      <c r="R24" s="2" t="s">
        <v>13</v>
      </c>
      <c r="S24" s="2" t="s">
        <v>441</v>
      </c>
      <c r="T24" s="2" t="s">
        <v>442</v>
      </c>
      <c r="U24" s="2" t="s">
        <v>443</v>
      </c>
      <c r="V24" s="2" t="s">
        <v>444</v>
      </c>
      <c r="W24" s="2" t="s">
        <v>445</v>
      </c>
      <c r="X24" s="2" t="s">
        <v>446</v>
      </c>
      <c r="Y24" s="2" t="s">
        <v>447</v>
      </c>
      <c r="Z24" s="2" t="s">
        <v>448</v>
      </c>
      <c r="AA24" s="2" t="s">
        <v>449</v>
      </c>
      <c r="AB24" s="2" t="s">
        <v>450</v>
      </c>
      <c r="AC24" s="2" t="s">
        <v>451</v>
      </c>
    </row>
    <row r="25" customFormat="false" ht="15" hidden="false" customHeight="false" outlineLevel="0" collapsed="false">
      <c r="A25" s="15" t="s">
        <v>19</v>
      </c>
      <c r="B25" s="16" t="n">
        <f aca="false">COUNTIFS('Raw Data'!$D$2:$D$1000,$A25)</f>
        <v>92</v>
      </c>
      <c r="C25" s="16" t="n">
        <f aca="false">SUMIFS('Raw Data'!$F$2:$F$1000,'Raw Data'!$D$2:$D$1000,$A25)</f>
        <v>291456</v>
      </c>
      <c r="D25" s="16" t="n">
        <f aca="false">SUMIFS('Raw Data'!$G$2:$G$1000,'Raw Data'!$D$2:$D$1000,$A25)</f>
        <v>269661</v>
      </c>
      <c r="E25" s="16" t="n">
        <f aca="false">SUMIFS('Raw Data'!$H$2:$H$1000,'Raw Data'!$D$2:$D$1000,$A25)</f>
        <v>7029</v>
      </c>
      <c r="F25" s="16" t="n">
        <f aca="false">D25-E25</f>
        <v>262632</v>
      </c>
      <c r="G25" s="17" t="n">
        <f aca="false">IFERROR(E25/D25,0)</f>
        <v>0.0260660607206826</v>
      </c>
      <c r="H25" s="16" t="n">
        <f aca="false">SUMIFS('Raw Data'!$I$2:$I$1000,'Raw Data'!$D$2:$D$1000,$A25)</f>
        <v>44160</v>
      </c>
      <c r="I25" s="16" t="n">
        <f aca="false">SUMIFS('Raw Data'!$J$2:$J$1000,'Raw Data'!$D$2:$D$1000,$A25)</f>
        <v>4181</v>
      </c>
      <c r="J25" s="16" t="n">
        <f aca="false">SUMPRODUCT(('Raw Data'!$D$2:$D$1000=$A25)*('Raw Data'!$I$2:$I$1000-'Raw Data'!$J$2:$J$1000)*'Raw Data'!$K$2:$K$1000)</f>
        <v>298839</v>
      </c>
      <c r="K25" s="17" t="n">
        <f aca="false">IFERROR((H25-I25)/H25,0)</f>
        <v>0.905321557971015</v>
      </c>
      <c r="L25" s="17" t="n">
        <f aca="false">IFERROR(D25/J25,0)</f>
        <v>0.902362141487557</v>
      </c>
      <c r="M25" s="17" t="n">
        <f aca="false">IFERROR(F25/D25,0)</f>
        <v>0.973933939279317</v>
      </c>
      <c r="N25" s="18" t="n">
        <f aca="false">K25*L25*M25</f>
        <v>0.795633807545346</v>
      </c>
      <c r="O25" s="16" t="n">
        <f aca="false">SUMIFS('Raw Data'!$L$2:$L$1000,'Raw Data'!$D$2:$D$1000,$A25)</f>
        <v>279948</v>
      </c>
      <c r="P25" s="16" t="n">
        <f aca="false">SUMIFS('Raw Data'!$M$2:$M$1000,'Raw Data'!$D$2:$D$1000,$A25)</f>
        <v>137860</v>
      </c>
      <c r="Q25" s="19" t="n">
        <f aca="false">IFERROR(P25/F25,0)</f>
        <v>0.524916994121052</v>
      </c>
      <c r="R25" s="16" t="n">
        <f aca="false">SUMIFS('Raw Data'!$N$2:$N$1000,'Raw Data'!$D$2:$D$1000,$A25)</f>
        <v>4416</v>
      </c>
      <c r="S25" s="20" t="n">
        <f aca="false">SUMIFS($J$33:$J$40,$B$33:$B$40,$A25)</f>
        <v>1022698.2</v>
      </c>
      <c r="T25" s="20" t="n">
        <f aca="false">SUMIFS($K$33:$K$40,$B$33:$B$40,$A25)</f>
        <v>426560.04</v>
      </c>
      <c r="U25" s="20" t="n">
        <f aca="false">P25*$B$9</f>
        <v>16543.2</v>
      </c>
      <c r="V25" s="20" t="n">
        <f aca="false">R25*$B$10</f>
        <v>79488</v>
      </c>
      <c r="W25" s="20" t="n">
        <f aca="false">T25+U25+V25</f>
        <v>522591.24</v>
      </c>
      <c r="X25" s="21" t="n">
        <f aca="false">S25-W25</f>
        <v>500106.96</v>
      </c>
      <c r="Y25" s="17" t="n">
        <f aca="false">IFERROR(X25/S25,0)</f>
        <v>0.489007372849585</v>
      </c>
      <c r="Z25" s="22" t="n">
        <f aca="false">IFERROR(W25/F25,0)</f>
        <v>1.98982317463219</v>
      </c>
      <c r="AA25" s="16" t="n">
        <f aca="false">COUNTIFS('Raw Data'!$D$2:$D$1000,$A25,'Raw Data'!$Q$2:$Q$1000,"Fail")</f>
        <v>0</v>
      </c>
      <c r="AB25" s="17" t="n">
        <f aca="false">IFERROR(AA25/B25,0)</f>
        <v>0</v>
      </c>
      <c r="AC25" s="17" t="n">
        <f aca="false">$B$5</f>
        <v>0.85</v>
      </c>
    </row>
    <row r="26" customFormat="false" ht="15" hidden="false" customHeight="false" outlineLevel="0" collapsed="false">
      <c r="A26" s="15" t="s">
        <v>25</v>
      </c>
      <c r="B26" s="16" t="n">
        <f aca="false">COUNTIFS('Raw Data'!$D$2:$D$1000,$A26)</f>
        <v>92</v>
      </c>
      <c r="C26" s="16" t="n">
        <f aca="false">SUMIFS('Raw Data'!$F$2:$F$1000,'Raw Data'!$D$2:$D$1000,$A26)</f>
        <v>310914</v>
      </c>
      <c r="D26" s="16" t="n">
        <f aca="false">SUMIFS('Raw Data'!$G$2:$G$1000,'Raw Data'!$D$2:$D$1000,$A26)</f>
        <v>291511</v>
      </c>
      <c r="E26" s="16" t="n">
        <f aca="false">SUMIFS('Raw Data'!$H$2:$H$1000,'Raw Data'!$D$2:$D$1000,$A26)</f>
        <v>6732</v>
      </c>
      <c r="F26" s="16" t="n">
        <f aca="false">D26-E26</f>
        <v>284779</v>
      </c>
      <c r="G26" s="17" t="n">
        <f aca="false">IFERROR(E26/D26,0)</f>
        <v>0.0230934681710124</v>
      </c>
      <c r="H26" s="16" t="n">
        <f aca="false">SUMIFS('Raw Data'!$I$2:$I$1000,'Raw Data'!$D$2:$D$1000,$A26)</f>
        <v>44160</v>
      </c>
      <c r="I26" s="16" t="n">
        <f aca="false">SUMIFS('Raw Data'!$J$2:$J$1000,'Raw Data'!$D$2:$D$1000,$A26)</f>
        <v>3765</v>
      </c>
      <c r="J26" s="16" t="n">
        <f aca="false">SUMPRODUCT(('Raw Data'!$D$2:$D$1000=$A26)*('Raw Data'!$I$2:$I$1000-'Raw Data'!$J$2:$J$1000)*'Raw Data'!$K$2:$K$1000)</f>
        <v>322356</v>
      </c>
      <c r="K26" s="17" t="n">
        <f aca="false">IFERROR((H26-I26)/H26,0)</f>
        <v>0.914741847826087</v>
      </c>
      <c r="L26" s="17" t="n">
        <f aca="false">IFERROR(D26/J26,0)</f>
        <v>0.904313864175012</v>
      </c>
      <c r="M26" s="17" t="n">
        <f aca="false">IFERROR(F26/D26,0)</f>
        <v>0.976906531828988</v>
      </c>
      <c r="N26" s="18" t="n">
        <f aca="false">K26*L26*M26</f>
        <v>0.808110501067346</v>
      </c>
      <c r="O26" s="16" t="n">
        <f aca="false">SUMIFS('Raw Data'!$L$2:$L$1000,'Raw Data'!$D$2:$D$1000,$A26)</f>
        <v>302470</v>
      </c>
      <c r="P26" s="16" t="n">
        <f aca="false">SUMIFS('Raw Data'!$M$2:$M$1000,'Raw Data'!$D$2:$D$1000,$A26)</f>
        <v>104428</v>
      </c>
      <c r="Q26" s="19" t="n">
        <f aca="false">IFERROR(P26/F26,0)</f>
        <v>0.366698387170402</v>
      </c>
      <c r="R26" s="16" t="n">
        <f aca="false">SUMIFS('Raw Data'!$N$2:$N$1000,'Raw Data'!$D$2:$D$1000,$A26)</f>
        <v>4416</v>
      </c>
      <c r="S26" s="20" t="n">
        <f aca="false">SUMIFS($J$33:$J$40,$B$33:$B$40,$A26)</f>
        <v>1360974.2</v>
      </c>
      <c r="T26" s="20" t="n">
        <f aca="false">SUMIFS($K$33:$K$40,$B$33:$B$40,$A26)</f>
        <v>662525.55</v>
      </c>
      <c r="U26" s="20" t="n">
        <f aca="false">P26*$B$9</f>
        <v>12531.36</v>
      </c>
      <c r="V26" s="20" t="n">
        <f aca="false">R26*$B$10</f>
        <v>79488</v>
      </c>
      <c r="W26" s="20" t="n">
        <f aca="false">T26+U26+V26</f>
        <v>754544.91</v>
      </c>
      <c r="X26" s="21" t="n">
        <f aca="false">S26-W26</f>
        <v>606429.29</v>
      </c>
      <c r="Y26" s="17" t="n">
        <f aca="false">IFERROR(X26/S26,0)</f>
        <v>0.445584706895987</v>
      </c>
      <c r="Z26" s="22" t="n">
        <f aca="false">IFERROR(W26/F26,0)</f>
        <v>2.64958058705171</v>
      </c>
      <c r="AA26" s="16" t="n">
        <f aca="false">COUNTIFS('Raw Data'!$D$2:$D$1000,$A26,'Raw Data'!$Q$2:$Q$1000,"Fail")</f>
        <v>1</v>
      </c>
      <c r="AB26" s="17" t="n">
        <f aca="false">IFERROR(AA26/B26,0)</f>
        <v>0.0108695652173913</v>
      </c>
      <c r="AC26" s="17" t="n">
        <f aca="false">$B$5</f>
        <v>0.85</v>
      </c>
    </row>
    <row r="27" customFormat="false" ht="15" hidden="false" customHeight="false" outlineLevel="0" collapsed="false">
      <c r="A27" s="15" t="s">
        <v>30</v>
      </c>
      <c r="B27" s="16" t="n">
        <f aca="false">COUNTIFS('Raw Data'!$D$2:$D$1000,$A27)</f>
        <v>92</v>
      </c>
      <c r="C27" s="16" t="n">
        <f aca="false">SUMIFS('Raw Data'!$F$2:$F$1000,'Raw Data'!$D$2:$D$1000,$A27)</f>
        <v>874368</v>
      </c>
      <c r="D27" s="16" t="n">
        <f aca="false">SUMIFS('Raw Data'!$G$2:$G$1000,'Raw Data'!$D$2:$D$1000,$A27)</f>
        <v>830866</v>
      </c>
      <c r="E27" s="16" t="n">
        <f aca="false">SUMIFS('Raw Data'!$H$2:$H$1000,'Raw Data'!$D$2:$D$1000,$A27)</f>
        <v>11080</v>
      </c>
      <c r="F27" s="16" t="n">
        <f aca="false">D27-E27</f>
        <v>819786</v>
      </c>
      <c r="G27" s="17" t="n">
        <f aca="false">IFERROR(E27/D27,0)</f>
        <v>0.0133354837001394</v>
      </c>
      <c r="H27" s="16" t="n">
        <f aca="false">SUMIFS('Raw Data'!$I$2:$I$1000,'Raw Data'!$D$2:$D$1000,$A27)</f>
        <v>44160</v>
      </c>
      <c r="I27" s="16" t="n">
        <f aca="false">SUMIFS('Raw Data'!$J$2:$J$1000,'Raw Data'!$D$2:$D$1000,$A27)</f>
        <v>3361</v>
      </c>
      <c r="J27" s="16" t="n">
        <f aca="false">SUMPRODUCT(('Raw Data'!$D$2:$D$1000=$A27)*('Raw Data'!$I$2:$I$1000-'Raw Data'!$J$2:$J$1000)*'Raw Data'!$K$2:$K$1000)</f>
        <v>919010</v>
      </c>
      <c r="K27" s="17" t="n">
        <f aca="false">IFERROR((H27-I27)/H27,0)</f>
        <v>0.923890398550725</v>
      </c>
      <c r="L27" s="17" t="n">
        <f aca="false">IFERROR(D27/J27,0)</f>
        <v>0.904088094797663</v>
      </c>
      <c r="M27" s="17" t="n">
        <f aca="false">IFERROR(F27/D27,0)</f>
        <v>0.986664516299861</v>
      </c>
      <c r="N27" s="18" t="n">
        <f aca="false">K27*L27*M27</f>
        <v>0.824139469936458</v>
      </c>
      <c r="O27" s="16" t="n">
        <f aca="false">SUMIFS('Raw Data'!$L$2:$L$1000,'Raw Data'!$D$2:$D$1000,$A27)</f>
        <v>861747</v>
      </c>
      <c r="P27" s="16" t="n">
        <f aca="false">SUMIFS('Raw Data'!$M$2:$M$1000,'Raw Data'!$D$2:$D$1000,$A27)</f>
        <v>109673</v>
      </c>
      <c r="Q27" s="19" t="n">
        <f aca="false">IFERROR(P27/F27,0)</f>
        <v>0.133782474938582</v>
      </c>
      <c r="R27" s="16" t="n">
        <f aca="false">SUMIFS('Raw Data'!$N$2:$N$1000,'Raw Data'!$D$2:$D$1000,$A27)</f>
        <v>4416</v>
      </c>
      <c r="S27" s="20" t="n">
        <f aca="false">SUMIFS($J$33:$J$40,$B$33:$B$40,$A27)</f>
        <v>1235058.6</v>
      </c>
      <c r="T27" s="20" t="n">
        <f aca="false">SUMIFS($K$33:$K$40,$B$33:$B$40,$A27)</f>
        <v>491022.96</v>
      </c>
      <c r="U27" s="20" t="n">
        <f aca="false">P27*$B$9</f>
        <v>13160.76</v>
      </c>
      <c r="V27" s="20" t="n">
        <f aca="false">R27*$B$10</f>
        <v>79488</v>
      </c>
      <c r="W27" s="20" t="n">
        <f aca="false">T27+U27+V27</f>
        <v>583671.72</v>
      </c>
      <c r="X27" s="21" t="n">
        <f aca="false">S27-W27</f>
        <v>651386.88</v>
      </c>
      <c r="Y27" s="17" t="n">
        <f aca="false">IFERROR(X27/S27,0)</f>
        <v>0.527413743768919</v>
      </c>
      <c r="Z27" s="22" t="n">
        <f aca="false">IFERROR(W27/F27,0)</f>
        <v>0.711980590056429</v>
      </c>
      <c r="AA27" s="16" t="n">
        <f aca="false">COUNTIFS('Raw Data'!$D$2:$D$1000,$A27,'Raw Data'!$Q$2:$Q$1000,"Fail")</f>
        <v>1</v>
      </c>
      <c r="AB27" s="17" t="n">
        <f aca="false">IFERROR(AA27/B27,0)</f>
        <v>0.0108695652173913</v>
      </c>
      <c r="AC27" s="17" t="n">
        <f aca="false">$B$5</f>
        <v>0.85</v>
      </c>
    </row>
    <row r="28" customFormat="false" ht="15" hidden="false" customHeight="false" outlineLevel="0" collapsed="false">
      <c r="A28" s="15" t="s">
        <v>34</v>
      </c>
      <c r="B28" s="16" t="n">
        <f aca="false">COUNTIFS('Raw Data'!$D$2:$D$1000,$A28)</f>
        <v>92</v>
      </c>
      <c r="C28" s="16" t="n">
        <f aca="false">SUMIFS('Raw Data'!$F$2:$F$1000,'Raw Data'!$D$2:$D$1000,$A28)</f>
        <v>252586</v>
      </c>
      <c r="D28" s="16" t="n">
        <f aca="false">SUMIFS('Raw Data'!$G$2:$G$1000,'Raw Data'!$D$2:$D$1000,$A28)</f>
        <v>243957</v>
      </c>
      <c r="E28" s="16" t="n">
        <f aca="false">SUMIFS('Raw Data'!$H$2:$H$1000,'Raw Data'!$D$2:$D$1000,$A28)</f>
        <v>9488</v>
      </c>
      <c r="F28" s="16" t="n">
        <f aca="false">D28-E28</f>
        <v>234469</v>
      </c>
      <c r="G28" s="17" t="n">
        <f aca="false">IFERROR(E28/D28,0)</f>
        <v>0.0388920998372664</v>
      </c>
      <c r="H28" s="16" t="n">
        <f aca="false">SUMIFS('Raw Data'!$I$2:$I$1000,'Raw Data'!$D$2:$D$1000,$A28)</f>
        <v>44160</v>
      </c>
      <c r="I28" s="16" t="n">
        <f aca="false">SUMIFS('Raw Data'!$J$2:$J$1000,'Raw Data'!$D$2:$D$1000,$A28)</f>
        <v>2826</v>
      </c>
      <c r="J28" s="16" t="n">
        <f aca="false">SUMPRODUCT(('Raw Data'!$D$2:$D$1000=$A28)*('Raw Data'!$I$2:$I$1000-'Raw Data'!$J$2:$J$1000)*'Raw Data'!$K$2:$K$1000)</f>
        <v>269349</v>
      </c>
      <c r="K28" s="17" t="n">
        <f aca="false">IFERROR((H28-I28)/H28,0)</f>
        <v>0.936005434782609</v>
      </c>
      <c r="L28" s="17" t="n">
        <f aca="false">IFERROR(D28/J28,0)</f>
        <v>0.905728255905906</v>
      </c>
      <c r="M28" s="17" t="n">
        <f aca="false">IFERROR(F28/D28,0)</f>
        <v>0.961107900162734</v>
      </c>
      <c r="N28" s="18" t="n">
        <f aca="false">K28*L28*M28</f>
        <v>0.814795147886361</v>
      </c>
      <c r="O28" s="16" t="n">
        <f aca="false">SUMIFS('Raw Data'!$L$2:$L$1000,'Raw Data'!$D$2:$D$1000,$A28)</f>
        <v>253469</v>
      </c>
      <c r="P28" s="16" t="n">
        <f aca="false">SUMIFS('Raw Data'!$M$2:$M$1000,'Raw Data'!$D$2:$D$1000,$A28)</f>
        <v>157629</v>
      </c>
      <c r="Q28" s="19" t="n">
        <f aca="false">IFERROR(P28/F28,0)</f>
        <v>0.672280770592274</v>
      </c>
      <c r="R28" s="16" t="n">
        <f aca="false">SUMIFS('Raw Data'!$N$2:$N$1000,'Raw Data'!$D$2:$D$1000,$A28)</f>
        <v>4416</v>
      </c>
      <c r="S28" s="20" t="n">
        <f aca="false">SUMIFS($J$33:$J$40,$B$33:$B$40,$A28)</f>
        <v>1495531</v>
      </c>
      <c r="T28" s="20" t="n">
        <f aca="false">SUMIFS($K$33:$K$40,$B$33:$B$40,$A28)</f>
        <v>671747.45</v>
      </c>
      <c r="U28" s="20" t="n">
        <f aca="false">P28*$B$9</f>
        <v>18915.48</v>
      </c>
      <c r="V28" s="20" t="n">
        <f aca="false">R28*$B$10</f>
        <v>79488</v>
      </c>
      <c r="W28" s="20" t="n">
        <f aca="false">T28+U28+V28</f>
        <v>770150.93</v>
      </c>
      <c r="X28" s="21" t="n">
        <f aca="false">S28-W28</f>
        <v>725380.07</v>
      </c>
      <c r="Y28" s="17" t="n">
        <f aca="false">IFERROR(X28/S28,0)</f>
        <v>0.485031784697208</v>
      </c>
      <c r="Z28" s="22" t="n">
        <f aca="false">IFERROR(W28/F28,0)</f>
        <v>3.28465993372258</v>
      </c>
      <c r="AA28" s="16" t="n">
        <f aca="false">COUNTIFS('Raw Data'!$D$2:$D$1000,$A28,'Raw Data'!$Q$2:$Q$1000,"Fail")</f>
        <v>0</v>
      </c>
      <c r="AB28" s="17" t="n">
        <f aca="false">IFERROR(AA28/B28,0)</f>
        <v>0</v>
      </c>
      <c r="AC28" s="17" t="n">
        <f aca="false">$B$5</f>
        <v>0.85</v>
      </c>
    </row>
    <row r="29" customFormat="false" ht="15" hidden="false" customHeight="false" outlineLevel="0" collapsed="false">
      <c r="A29" s="23" t="s">
        <v>452</v>
      </c>
      <c r="B29" s="24" t="n">
        <f aca="false">SUM(B25:B28)</f>
        <v>368</v>
      </c>
      <c r="C29" s="24" t="n">
        <f aca="false">SUM(C25:C28)</f>
        <v>1729324</v>
      </c>
      <c r="D29" s="24" t="n">
        <f aca="false">SUM(D25:D28)</f>
        <v>1635995</v>
      </c>
      <c r="E29" s="24" t="n">
        <f aca="false">SUM(E25:E28)</f>
        <v>34329</v>
      </c>
      <c r="F29" s="24" t="n">
        <f aca="false">SUM(F25:F28)</f>
        <v>1601666</v>
      </c>
      <c r="G29" s="25" t="n">
        <f aca="false">IFERROR(E29/D29,0)</f>
        <v>0.0209835604632043</v>
      </c>
      <c r="H29" s="24" t="n">
        <f aca="false">SUM(H25:H28)</f>
        <v>176640</v>
      </c>
      <c r="I29" s="24" t="n">
        <f aca="false">SUM(I25:I28)</f>
        <v>14133</v>
      </c>
      <c r="J29" s="24" t="n">
        <f aca="false">SUM(J25:J28)</f>
        <v>1809554</v>
      </c>
      <c r="K29" s="25" t="n">
        <f aca="false">IFERROR((H29-I29)/H29,0)</f>
        <v>0.919989809782609</v>
      </c>
      <c r="L29" s="25" t="n">
        <f aca="false">IFERROR(D29/J29,0)</f>
        <v>0.904087416015217</v>
      </c>
      <c r="M29" s="25" t="n">
        <f aca="false">IFERROR(F29/D29,0)</f>
        <v>0.979016439536796</v>
      </c>
      <c r="N29" s="25" t="n">
        <f aca="false">K29*L29*M29</f>
        <v>0.814298108083689</v>
      </c>
      <c r="O29" s="24" t="n">
        <f aca="false">SUM(O25:O28)</f>
        <v>1697634</v>
      </c>
      <c r="P29" s="24" t="n">
        <f aca="false">SUM(P25:P28)</f>
        <v>509590</v>
      </c>
      <c r="Q29" s="26" t="n">
        <f aca="false">IFERROR(P29/F29,0)</f>
        <v>0.318162463335052</v>
      </c>
      <c r="R29" s="24" t="n">
        <f aca="false">SUM(R25:R28)</f>
        <v>17664</v>
      </c>
      <c r="S29" s="27" t="n">
        <f aca="false">SUM(S25:S28)</f>
        <v>5114262</v>
      </c>
      <c r="T29" s="27" t="n">
        <f aca="false">SUM(T25:T28)</f>
        <v>2251856</v>
      </c>
      <c r="U29" s="27" t="n">
        <f aca="false">SUM(U25:U28)</f>
        <v>61150.8</v>
      </c>
      <c r="V29" s="27" t="n">
        <f aca="false">SUM(V25:V28)</f>
        <v>317952</v>
      </c>
      <c r="W29" s="27" t="n">
        <f aca="false">SUM(W25:W28)</f>
        <v>2630958.8</v>
      </c>
      <c r="X29" s="28" t="n">
        <f aca="false">SUM(X25:X28)</f>
        <v>2483303.2</v>
      </c>
      <c r="Y29" s="25" t="n">
        <f aca="false">IFERROR(X29/S29,0)</f>
        <v>0.485564329711696</v>
      </c>
      <c r="Z29" s="29" t="n">
        <f aca="false">IFERROR(W29/F29,0)</f>
        <v>1.64263885229505</v>
      </c>
      <c r="AA29" s="24" t="n">
        <f aca="false">SUM(AA25:AA28)</f>
        <v>2</v>
      </c>
      <c r="AB29" s="25" t="n">
        <f aca="false">IFERROR(AA29/B29,0)</f>
        <v>0.00543478260869565</v>
      </c>
    </row>
    <row r="31" customFormat="false" ht="15" hidden="false" customHeight="false" outlineLevel="0" collapsed="false">
      <c r="A31" s="9" t="s">
        <v>453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customFormat="false" ht="42" hidden="false" customHeight="true" outlineLevel="0" collapsed="false">
      <c r="A32" s="2" t="s">
        <v>4</v>
      </c>
      <c r="B32" s="2" t="s">
        <v>3</v>
      </c>
      <c r="C32" s="2" t="s">
        <v>429</v>
      </c>
      <c r="D32" s="2" t="s">
        <v>431</v>
      </c>
      <c r="E32" s="2" t="s">
        <v>432</v>
      </c>
      <c r="F32" s="2" t="s">
        <v>433</v>
      </c>
      <c r="G32" s="2" t="s">
        <v>434</v>
      </c>
      <c r="H32" s="2" t="s">
        <v>11</v>
      </c>
      <c r="I32" s="2" t="s">
        <v>454</v>
      </c>
      <c r="J32" s="2" t="s">
        <v>441</v>
      </c>
      <c r="K32" s="2" t="s">
        <v>442</v>
      </c>
      <c r="L32" s="2" t="s">
        <v>443</v>
      </c>
      <c r="M32" s="2" t="s">
        <v>444</v>
      </c>
      <c r="N32" s="2" t="s">
        <v>445</v>
      </c>
      <c r="O32" s="2" t="s">
        <v>446</v>
      </c>
      <c r="P32" s="2" t="s">
        <v>447</v>
      </c>
      <c r="Q32" s="2" t="s">
        <v>448</v>
      </c>
    </row>
    <row r="33" customFormat="false" ht="15" hidden="false" customHeight="false" outlineLevel="0" collapsed="false">
      <c r="A33" s="30" t="str">
        <f aca="false">A14</f>
        <v>Bread</v>
      </c>
      <c r="B33" s="30" t="str">
        <f aca="false">B14</f>
        <v>Bakery</v>
      </c>
      <c r="C33" s="16" t="n">
        <f aca="false">COUNTIFS('Raw Data'!$E$2:$E$1000,$A33)</f>
        <v>46</v>
      </c>
      <c r="D33" s="16" t="n">
        <f aca="false">SUMIFS('Raw Data'!$G$2:$G$1000,'Raw Data'!$E$2:$E$1000,$A33)</f>
        <v>159648</v>
      </c>
      <c r="E33" s="16" t="n">
        <f aca="false">SUMIFS('Raw Data'!$H$2:$H$1000,'Raw Data'!$E$2:$E$1000,$A33)</f>
        <v>3434</v>
      </c>
      <c r="F33" s="16" t="n">
        <f aca="false">D33-E33</f>
        <v>156214</v>
      </c>
      <c r="G33" s="17" t="n">
        <f aca="false">IFERROR(E33/D33,0)</f>
        <v>0.0215098216075366</v>
      </c>
      <c r="H33" s="16" t="n">
        <f aca="false">SUMIFS('Raw Data'!$L$2:$L$1000,'Raw Data'!$E$2:$E$1000,$A33)</f>
        <v>165939</v>
      </c>
      <c r="I33" s="31" t="n">
        <f aca="false">C14</f>
        <v>2.8</v>
      </c>
      <c r="J33" s="20" t="n">
        <f aca="false">F33*I33</f>
        <v>437399.2</v>
      </c>
      <c r="K33" s="20" t="n">
        <f aca="false">SUMPRODUCT(('Raw Data'!$E$2:$E$1000=$A33)*'Raw Data'!$L$2:$L$1000*'Raw Data'!$O$2:$O$1000)</f>
        <v>179452.67</v>
      </c>
      <c r="L33" s="20" t="n">
        <f aca="false">SUMIFS('Raw Data'!$M$2:$M$1000,'Raw Data'!$E$2:$E$1000,$A33)*$B$9</f>
        <v>8656.08</v>
      </c>
      <c r="M33" s="20" t="n">
        <f aca="false">SUMIFS('Raw Data'!$N$2:$N$1000,'Raw Data'!$E$2:$E$1000,$A33)*$B$10</f>
        <v>39744</v>
      </c>
      <c r="N33" s="20" t="n">
        <f aca="false">K33+L33+M33</f>
        <v>227852.75</v>
      </c>
      <c r="O33" s="21" t="n">
        <f aca="false">J33-N33</f>
        <v>209546.45</v>
      </c>
      <c r="P33" s="17" t="n">
        <f aca="false">IFERROR(O33/J33,0)</f>
        <v>0.47907369286455</v>
      </c>
      <c r="Q33" s="22" t="n">
        <f aca="false">IFERROR(N33/F33,0)</f>
        <v>1.45859365997926</v>
      </c>
    </row>
    <row r="34" customFormat="false" ht="15" hidden="false" customHeight="false" outlineLevel="0" collapsed="false">
      <c r="A34" s="30" t="str">
        <f aca="false">A15</f>
        <v>Cookies</v>
      </c>
      <c r="B34" s="30" t="str">
        <f aca="false">B15</f>
        <v>Bakery</v>
      </c>
      <c r="C34" s="16" t="n">
        <f aca="false">COUNTIFS('Raw Data'!$E$2:$E$1000,$A34)</f>
        <v>46</v>
      </c>
      <c r="D34" s="16" t="n">
        <f aca="false">SUMIFS('Raw Data'!$G$2:$G$1000,'Raw Data'!$E$2:$E$1000,$A34)</f>
        <v>110013</v>
      </c>
      <c r="E34" s="16" t="n">
        <f aca="false">SUMIFS('Raw Data'!$H$2:$H$1000,'Raw Data'!$E$2:$E$1000,$A34)</f>
        <v>3595</v>
      </c>
      <c r="F34" s="16" t="n">
        <f aca="false">D34-E34</f>
        <v>106418</v>
      </c>
      <c r="G34" s="17" t="n">
        <f aca="false">IFERROR(E34/D34,0)</f>
        <v>0.0326779562415351</v>
      </c>
      <c r="H34" s="16" t="n">
        <f aca="false">SUMIFS('Raw Data'!$L$2:$L$1000,'Raw Data'!$E$2:$E$1000,$A34)</f>
        <v>114009</v>
      </c>
      <c r="I34" s="31" t="n">
        <f aca="false">C15</f>
        <v>5.5</v>
      </c>
      <c r="J34" s="20" t="n">
        <f aca="false">F34*I34</f>
        <v>585299</v>
      </c>
      <c r="K34" s="20" t="n">
        <f aca="false">SUMPRODUCT(('Raw Data'!$E$2:$E$1000=$A34)*'Raw Data'!$L$2:$L$1000*'Raw Data'!$O$2:$O$1000)</f>
        <v>247107.37</v>
      </c>
      <c r="L34" s="20" t="n">
        <f aca="false">SUMIFS('Raw Data'!$M$2:$M$1000,'Raw Data'!$E$2:$E$1000,$A34)*$B$9</f>
        <v>7887.12</v>
      </c>
      <c r="M34" s="20" t="n">
        <f aca="false">SUMIFS('Raw Data'!$N$2:$N$1000,'Raw Data'!$E$2:$E$1000,$A34)*$B$10</f>
        <v>39744</v>
      </c>
      <c r="N34" s="20" t="n">
        <f aca="false">K34+L34+M34</f>
        <v>294738.49</v>
      </c>
      <c r="O34" s="21" t="n">
        <f aca="false">J34-N34</f>
        <v>290560.51</v>
      </c>
      <c r="P34" s="17" t="n">
        <f aca="false">IFERROR(O34/J34,0)</f>
        <v>0.496430901129167</v>
      </c>
      <c r="Q34" s="22" t="n">
        <f aca="false">IFERROR(N34/F34,0)</f>
        <v>2.76963004378958</v>
      </c>
    </row>
    <row r="35" customFormat="false" ht="15" hidden="false" customHeight="false" outlineLevel="0" collapsed="false">
      <c r="A35" s="30" t="str">
        <f aca="false">A16</f>
        <v>Yogurt</v>
      </c>
      <c r="B35" s="30" t="str">
        <f aca="false">B16</f>
        <v>Dairy</v>
      </c>
      <c r="C35" s="16" t="n">
        <f aca="false">COUNTIFS('Raw Data'!$E$2:$E$1000,$A35)</f>
        <v>46</v>
      </c>
      <c r="D35" s="16" t="n">
        <f aca="false">SUMIFS('Raw Data'!$G$2:$G$1000,'Raw Data'!$E$2:$E$1000,$A35)</f>
        <v>218157</v>
      </c>
      <c r="E35" s="16" t="n">
        <f aca="false">SUMIFS('Raw Data'!$H$2:$H$1000,'Raw Data'!$E$2:$E$1000,$A35)</f>
        <v>4756</v>
      </c>
      <c r="F35" s="16" t="n">
        <f aca="false">D35-E35</f>
        <v>213401</v>
      </c>
      <c r="G35" s="17" t="n">
        <f aca="false">IFERROR(E35/D35,0)</f>
        <v>0.0218008131758321</v>
      </c>
      <c r="H35" s="16" t="n">
        <f aca="false">SUMIFS('Raw Data'!$L$2:$L$1000,'Raw Data'!$E$2:$E$1000,$A35)</f>
        <v>226252</v>
      </c>
      <c r="I35" s="31" t="n">
        <f aca="false">C16</f>
        <v>3.2</v>
      </c>
      <c r="J35" s="20" t="n">
        <f aca="false">F35*I35</f>
        <v>682883.2</v>
      </c>
      <c r="K35" s="20" t="n">
        <f aca="false">SUMPRODUCT(('Raw Data'!$E$2:$E$1000=$A35)*'Raw Data'!$L$2:$L$1000*'Raw Data'!$O$2:$O$1000)</f>
        <v>302315.37</v>
      </c>
      <c r="L35" s="20" t="n">
        <f aca="false">SUMIFS('Raw Data'!$M$2:$M$1000,'Raw Data'!$E$2:$E$1000,$A35)*$B$9</f>
        <v>7715.28</v>
      </c>
      <c r="M35" s="20" t="n">
        <f aca="false">SUMIFS('Raw Data'!$N$2:$N$1000,'Raw Data'!$E$2:$E$1000,$A35)*$B$10</f>
        <v>39744</v>
      </c>
      <c r="N35" s="20" t="n">
        <f aca="false">K35+L35+M35</f>
        <v>349774.65</v>
      </c>
      <c r="O35" s="21" t="n">
        <f aca="false">J35-N35</f>
        <v>333108.55</v>
      </c>
      <c r="P35" s="17" t="n">
        <f aca="false">IFERROR(O35/J35,0)</f>
        <v>0.487797254347449</v>
      </c>
      <c r="Q35" s="22" t="n">
        <f aca="false">IFERROR(N35/F35,0)</f>
        <v>1.63904878608816</v>
      </c>
    </row>
    <row r="36" customFormat="false" ht="15" hidden="false" customHeight="false" outlineLevel="0" collapsed="false">
      <c r="A36" s="30" t="str">
        <f aca="false">A17</f>
        <v>Cheese</v>
      </c>
      <c r="B36" s="30" t="str">
        <f aca="false">B17</f>
        <v>Dairy</v>
      </c>
      <c r="C36" s="16" t="n">
        <f aca="false">COUNTIFS('Raw Data'!$E$2:$E$1000,$A36)</f>
        <v>46</v>
      </c>
      <c r="D36" s="16" t="n">
        <f aca="false">SUMIFS('Raw Data'!$G$2:$G$1000,'Raw Data'!$E$2:$E$1000,$A36)</f>
        <v>73354</v>
      </c>
      <c r="E36" s="16" t="n">
        <f aca="false">SUMIFS('Raw Data'!$H$2:$H$1000,'Raw Data'!$E$2:$E$1000,$A36)</f>
        <v>1976</v>
      </c>
      <c r="F36" s="16" t="n">
        <f aca="false">D36-E36</f>
        <v>71378</v>
      </c>
      <c r="G36" s="17" t="n">
        <f aca="false">IFERROR(E36/D36,0)</f>
        <v>0.0269378629658914</v>
      </c>
      <c r="H36" s="16" t="n">
        <f aca="false">SUMIFS('Raw Data'!$L$2:$L$1000,'Raw Data'!$E$2:$E$1000,$A36)</f>
        <v>76218</v>
      </c>
      <c r="I36" s="31" t="n">
        <f aca="false">C17</f>
        <v>9.5</v>
      </c>
      <c r="J36" s="20" t="n">
        <f aca="false">F36*I36</f>
        <v>678091</v>
      </c>
      <c r="K36" s="20" t="n">
        <f aca="false">SUMPRODUCT(('Raw Data'!$E$2:$E$1000=$A36)*'Raw Data'!$L$2:$L$1000*'Raw Data'!$O$2:$O$1000)</f>
        <v>360210.18</v>
      </c>
      <c r="L36" s="20" t="n">
        <f aca="false">SUMIFS('Raw Data'!$M$2:$M$1000,'Raw Data'!$E$2:$E$1000,$A36)*$B$9</f>
        <v>4816.08</v>
      </c>
      <c r="M36" s="20" t="n">
        <f aca="false">SUMIFS('Raw Data'!$N$2:$N$1000,'Raw Data'!$E$2:$E$1000,$A36)*$B$10</f>
        <v>39744</v>
      </c>
      <c r="N36" s="20" t="n">
        <f aca="false">K36+L36+M36</f>
        <v>404770.26</v>
      </c>
      <c r="O36" s="21" t="n">
        <f aca="false">J36-N36</f>
        <v>273320.74</v>
      </c>
      <c r="P36" s="17" t="n">
        <f aca="false">IFERROR(O36/J36,0)</f>
        <v>0.403073835222706</v>
      </c>
      <c r="Q36" s="22" t="n">
        <f aca="false">IFERROR(N36/F36,0)</f>
        <v>5.67079856538429</v>
      </c>
    </row>
    <row r="37" customFormat="false" ht="15" hidden="false" customHeight="false" outlineLevel="0" collapsed="false">
      <c r="A37" s="30" t="str">
        <f aca="false">A18</f>
        <v>Juice</v>
      </c>
      <c r="B37" s="30" t="str">
        <f aca="false">B18</f>
        <v>Beverage</v>
      </c>
      <c r="C37" s="16" t="n">
        <f aca="false">COUNTIFS('Raw Data'!$E$2:$E$1000,$A37)</f>
        <v>46</v>
      </c>
      <c r="D37" s="16" t="n">
        <f aca="false">SUMIFS('Raw Data'!$G$2:$G$1000,'Raw Data'!$E$2:$E$1000,$A37)</f>
        <v>365059</v>
      </c>
      <c r="E37" s="16" t="n">
        <f aca="false">SUMIFS('Raw Data'!$H$2:$H$1000,'Raw Data'!$E$2:$E$1000,$A37)</f>
        <v>6037</v>
      </c>
      <c r="F37" s="16" t="n">
        <f aca="false">D37-E37</f>
        <v>359022</v>
      </c>
      <c r="G37" s="17" t="n">
        <f aca="false">IFERROR(E37/D37,0)</f>
        <v>0.0165370529147343</v>
      </c>
      <c r="H37" s="16" t="n">
        <f aca="false">SUMIFS('Raw Data'!$L$2:$L$1000,'Raw Data'!$E$2:$E$1000,$A37)</f>
        <v>378818</v>
      </c>
      <c r="I37" s="31" t="n">
        <f aca="false">C18</f>
        <v>1.9</v>
      </c>
      <c r="J37" s="20" t="n">
        <f aca="false">F37*I37</f>
        <v>682141.8</v>
      </c>
      <c r="K37" s="20" t="n">
        <f aca="false">SUMPRODUCT(('Raw Data'!$E$2:$E$1000=$A37)*'Raw Data'!$L$2:$L$1000*'Raw Data'!$O$2:$O$1000)</f>
        <v>292153.19</v>
      </c>
      <c r="L37" s="20" t="n">
        <f aca="false">SUMIFS('Raw Data'!$M$2:$M$1000,'Raw Data'!$E$2:$E$1000,$A37)*$B$9</f>
        <v>6574.32</v>
      </c>
      <c r="M37" s="20" t="n">
        <f aca="false">SUMIFS('Raw Data'!$N$2:$N$1000,'Raw Data'!$E$2:$E$1000,$A37)*$B$10</f>
        <v>39744</v>
      </c>
      <c r="N37" s="20" t="n">
        <f aca="false">K37+L37+M37</f>
        <v>338471.51</v>
      </c>
      <c r="O37" s="21" t="n">
        <f aca="false">J37-N37</f>
        <v>343670.29</v>
      </c>
      <c r="P37" s="17" t="n">
        <f aca="false">IFERROR(O37/J37,0)</f>
        <v>0.503810629989249</v>
      </c>
      <c r="Q37" s="22" t="n">
        <f aca="false">IFERROR(N37/F37,0)</f>
        <v>0.942759803020428</v>
      </c>
    </row>
    <row r="38" customFormat="false" ht="15" hidden="false" customHeight="false" outlineLevel="0" collapsed="false">
      <c r="A38" s="30" t="str">
        <f aca="false">A19</f>
        <v>Soda</v>
      </c>
      <c r="B38" s="30" t="str">
        <f aca="false">B19</f>
        <v>Beverage</v>
      </c>
      <c r="C38" s="16" t="n">
        <f aca="false">COUNTIFS('Raw Data'!$E$2:$E$1000,$A38)</f>
        <v>46</v>
      </c>
      <c r="D38" s="16" t="n">
        <f aca="false">SUMIFS('Raw Data'!$G$2:$G$1000,'Raw Data'!$E$2:$E$1000,$A38)</f>
        <v>465807</v>
      </c>
      <c r="E38" s="16" t="n">
        <f aca="false">SUMIFS('Raw Data'!$H$2:$H$1000,'Raw Data'!$E$2:$E$1000,$A38)</f>
        <v>5043</v>
      </c>
      <c r="F38" s="16" t="n">
        <f aca="false">D38-E38</f>
        <v>460764</v>
      </c>
      <c r="G38" s="17" t="n">
        <f aca="false">IFERROR(E38/D38,0)</f>
        <v>0.0108263722958221</v>
      </c>
      <c r="H38" s="16" t="n">
        <f aca="false">SUMIFS('Raw Data'!$L$2:$L$1000,'Raw Data'!$E$2:$E$1000,$A38)</f>
        <v>482929</v>
      </c>
      <c r="I38" s="31" t="n">
        <f aca="false">C19</f>
        <v>1.2</v>
      </c>
      <c r="J38" s="20" t="n">
        <f aca="false">F38*I38</f>
        <v>552916.8</v>
      </c>
      <c r="K38" s="20" t="n">
        <f aca="false">SUMPRODUCT(('Raw Data'!$E$2:$E$1000=$A38)*'Raw Data'!$L$2:$L$1000*'Raw Data'!$O$2:$O$1000)</f>
        <v>198869.77</v>
      </c>
      <c r="L38" s="20" t="n">
        <f aca="false">SUMIFS('Raw Data'!$M$2:$M$1000,'Raw Data'!$E$2:$E$1000,$A38)*$B$9</f>
        <v>6586.44</v>
      </c>
      <c r="M38" s="20" t="n">
        <f aca="false">SUMIFS('Raw Data'!$N$2:$N$1000,'Raw Data'!$E$2:$E$1000,$A38)*$B$10</f>
        <v>39744</v>
      </c>
      <c r="N38" s="20" t="n">
        <f aca="false">K38+L38+M38</f>
        <v>245200.21</v>
      </c>
      <c r="O38" s="21" t="n">
        <f aca="false">J38-N38</f>
        <v>307716.59</v>
      </c>
      <c r="P38" s="17" t="n">
        <f aca="false">IFERROR(O38/J38,0)</f>
        <v>0.55653326142378</v>
      </c>
      <c r="Q38" s="22" t="n">
        <f aca="false">IFERROR(N38/F38,0)</f>
        <v>0.532160086291464</v>
      </c>
    </row>
    <row r="39" customFormat="false" ht="15" hidden="false" customHeight="false" outlineLevel="0" collapsed="false">
      <c r="A39" s="30" t="str">
        <f aca="false">A20</f>
        <v>Ice Cream</v>
      </c>
      <c r="B39" s="30" t="str">
        <f aca="false">B20</f>
        <v>Frozen</v>
      </c>
      <c r="C39" s="16" t="n">
        <f aca="false">COUNTIFS('Raw Data'!$E$2:$E$1000,$A39)</f>
        <v>46</v>
      </c>
      <c r="D39" s="16" t="n">
        <f aca="false">SUMIFS('Raw Data'!$G$2:$G$1000,'Raw Data'!$E$2:$E$1000,$A39)</f>
        <v>151086</v>
      </c>
      <c r="E39" s="16" t="n">
        <f aca="false">SUMIFS('Raw Data'!$H$2:$H$1000,'Raw Data'!$E$2:$E$1000,$A39)</f>
        <v>5334</v>
      </c>
      <c r="F39" s="16" t="n">
        <f aca="false">D39-E39</f>
        <v>145752</v>
      </c>
      <c r="G39" s="17" t="n">
        <f aca="false">IFERROR(E39/D39,0)</f>
        <v>0.0353043961717168</v>
      </c>
      <c r="H39" s="16" t="n">
        <f aca="false">SUMIFS('Raw Data'!$L$2:$L$1000,'Raw Data'!$E$2:$E$1000,$A39)</f>
        <v>156916</v>
      </c>
      <c r="I39" s="31" t="n">
        <f aca="false">C20</f>
        <v>6</v>
      </c>
      <c r="J39" s="20" t="n">
        <f aca="false">F39*I39</f>
        <v>874512</v>
      </c>
      <c r="K39" s="20" t="n">
        <f aca="false">SUMPRODUCT(('Raw Data'!$E$2:$E$1000=$A39)*'Raw Data'!$L$2:$L$1000*'Raw Data'!$O$2:$O$1000)</f>
        <v>373150.92</v>
      </c>
      <c r="L39" s="20" t="n">
        <f aca="false">SUMIFS('Raw Data'!$M$2:$M$1000,'Raw Data'!$E$2:$E$1000,$A39)*$B$9</f>
        <v>12715.32</v>
      </c>
      <c r="M39" s="20" t="n">
        <f aca="false">SUMIFS('Raw Data'!$N$2:$N$1000,'Raw Data'!$E$2:$E$1000,$A39)*$B$10</f>
        <v>39744</v>
      </c>
      <c r="N39" s="20" t="n">
        <f aca="false">K39+L39+M39</f>
        <v>425610.24</v>
      </c>
      <c r="O39" s="21" t="n">
        <f aca="false">J39-N39</f>
        <v>448901.76</v>
      </c>
      <c r="P39" s="17" t="n">
        <f aca="false">IFERROR(O39/J39,0)</f>
        <v>0.513316867006971</v>
      </c>
      <c r="Q39" s="22" t="n">
        <f aca="false">IFERROR(N39/F39,0)</f>
        <v>2.92009879795818</v>
      </c>
    </row>
    <row r="40" customFormat="false" ht="15" hidden="false" customHeight="false" outlineLevel="0" collapsed="false">
      <c r="A40" s="30" t="str">
        <f aca="false">A21</f>
        <v>Frozen Pizza</v>
      </c>
      <c r="B40" s="30" t="str">
        <f aca="false">B21</f>
        <v>Frozen</v>
      </c>
      <c r="C40" s="16" t="n">
        <f aca="false">COUNTIFS('Raw Data'!$E$2:$E$1000,$A40)</f>
        <v>46</v>
      </c>
      <c r="D40" s="16" t="n">
        <f aca="false">SUMIFS('Raw Data'!$G$2:$G$1000,'Raw Data'!$E$2:$E$1000,$A40)</f>
        <v>92871</v>
      </c>
      <c r="E40" s="16" t="n">
        <f aca="false">SUMIFS('Raw Data'!$H$2:$H$1000,'Raw Data'!$E$2:$E$1000,$A40)</f>
        <v>4154</v>
      </c>
      <c r="F40" s="16" t="n">
        <f aca="false">D40-E40</f>
        <v>88717</v>
      </c>
      <c r="G40" s="17" t="n">
        <f aca="false">IFERROR(E40/D40,0)</f>
        <v>0.0447287097156271</v>
      </c>
      <c r="H40" s="16" t="n">
        <f aca="false">SUMIFS('Raw Data'!$L$2:$L$1000,'Raw Data'!$E$2:$E$1000,$A40)</f>
        <v>96553</v>
      </c>
      <c r="I40" s="31" t="n">
        <f aca="false">C21</f>
        <v>7</v>
      </c>
      <c r="J40" s="20" t="n">
        <f aca="false">F40*I40</f>
        <v>621019</v>
      </c>
      <c r="K40" s="20" t="n">
        <f aca="false">SUMPRODUCT(('Raw Data'!$E$2:$E$1000=$A40)*'Raw Data'!$L$2:$L$1000*'Raw Data'!$O$2:$O$1000)</f>
        <v>298596.53</v>
      </c>
      <c r="L40" s="20" t="n">
        <f aca="false">SUMIFS('Raw Data'!$M$2:$M$1000,'Raw Data'!$E$2:$E$1000,$A40)*$B$9</f>
        <v>6200.16</v>
      </c>
      <c r="M40" s="20" t="n">
        <f aca="false">SUMIFS('Raw Data'!$N$2:$N$1000,'Raw Data'!$E$2:$E$1000,$A40)*$B$10</f>
        <v>39744</v>
      </c>
      <c r="N40" s="20" t="n">
        <f aca="false">K40+L40+M40</f>
        <v>344540.69</v>
      </c>
      <c r="O40" s="21" t="n">
        <f aca="false">J40-N40</f>
        <v>276478.31</v>
      </c>
      <c r="P40" s="17" t="n">
        <f aca="false">IFERROR(O40/J40,0)</f>
        <v>0.445201048599157</v>
      </c>
      <c r="Q40" s="22" t="n">
        <f aca="false">IFERROR(N40/F40,0)</f>
        <v>3.8835926598059</v>
      </c>
    </row>
    <row r="43" customFormat="false" ht="15" hidden="false" customHeight="false" outlineLevel="0" collapsed="false">
      <c r="A43" s="9" t="s">
        <v>455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customFormat="false" ht="42" hidden="false" customHeight="true" outlineLevel="0" collapsed="false">
      <c r="A44" s="2" t="s">
        <v>456</v>
      </c>
      <c r="B44" s="2" t="s">
        <v>429</v>
      </c>
      <c r="C44" s="2" t="s">
        <v>431</v>
      </c>
      <c r="D44" s="2" t="s">
        <v>432</v>
      </c>
      <c r="E44" s="2" t="s">
        <v>433</v>
      </c>
      <c r="F44" s="2" t="s">
        <v>434</v>
      </c>
      <c r="G44" s="2" t="s">
        <v>8</v>
      </c>
      <c r="H44" s="2" t="s">
        <v>9</v>
      </c>
      <c r="I44" s="2" t="s">
        <v>435</v>
      </c>
      <c r="J44" s="2" t="s">
        <v>436</v>
      </c>
      <c r="K44" s="2" t="s">
        <v>437</v>
      </c>
      <c r="L44" s="2" t="s">
        <v>438</v>
      </c>
      <c r="M44" s="2" t="s">
        <v>439</v>
      </c>
      <c r="N44" s="2" t="s">
        <v>11</v>
      </c>
      <c r="O44" s="2" t="s">
        <v>441</v>
      </c>
      <c r="P44" s="2" t="s">
        <v>445</v>
      </c>
      <c r="Q44" s="2" t="s">
        <v>446</v>
      </c>
      <c r="R44" s="2" t="s">
        <v>447</v>
      </c>
      <c r="S44" s="2" t="s">
        <v>457</v>
      </c>
      <c r="T44" s="2" t="s">
        <v>451</v>
      </c>
    </row>
    <row r="45" customFormat="false" ht="15" hidden="false" customHeight="false" outlineLevel="0" collapsed="false">
      <c r="A45" s="32" t="n">
        <v>46204</v>
      </c>
      <c r="B45" s="16" t="n">
        <f aca="false">COUNTIFS('Raw Data'!$A$2:$A$1000,"&gt;="&amp;$A45,'Raw Data'!$A$2:$A$1000,"&lt;"&amp;EDATE($A45,1))</f>
        <v>124</v>
      </c>
      <c r="C45" s="16" t="n">
        <f aca="false">SUMIFS('Raw Data'!$G$2:$G$1000,'Raw Data'!$A$2:$A$1000,"&gt;="&amp;$A45,'Raw Data'!$A$2:$A$1000,"&lt;"&amp;EDATE($A45,1))</f>
        <v>549596</v>
      </c>
      <c r="D45" s="16" t="n">
        <f aca="false">SUMIFS('Raw Data'!$H$2:$H$1000,'Raw Data'!$A$2:$A$1000,"&gt;="&amp;$A45,'Raw Data'!$A$2:$A$1000,"&lt;"&amp;EDATE($A45,1))</f>
        <v>11219</v>
      </c>
      <c r="E45" s="16" t="n">
        <f aca="false">C45-D45</f>
        <v>538377</v>
      </c>
      <c r="F45" s="17" t="n">
        <f aca="false">IFERROR(D45/C45,0)</f>
        <v>0.02041317622399</v>
      </c>
      <c r="G45" s="16" t="n">
        <f aca="false">SUMIFS('Raw Data'!$I$2:$I$1000,'Raw Data'!$A$2:$A$1000,"&gt;="&amp;$A45,'Raw Data'!$A$2:$A$1000,"&lt;"&amp;EDATE($A45,1))</f>
        <v>59520</v>
      </c>
      <c r="H45" s="16" t="n">
        <f aca="false">SUMIFS('Raw Data'!$J$2:$J$1000,'Raw Data'!$A$2:$A$1000,"&gt;="&amp;$A45,'Raw Data'!$A$2:$A$1000,"&lt;"&amp;EDATE($A45,1))</f>
        <v>4581</v>
      </c>
      <c r="I45" s="16" t="n">
        <f aca="false">SUMPRODUCT(('Raw Data'!$A$2:$A$1000&gt;=$A45)*('Raw Data'!$A$2:$A$1000&lt;EDATE($A45,1))*('Raw Data'!$I$2:$I$1000-'Raw Data'!$J$2:$J$1000)*'Raw Data'!$K$2:$K$1000)</f>
        <v>609558</v>
      </c>
      <c r="J45" s="17" t="n">
        <f aca="false">IFERROR((G45-H45)/G45,0)</f>
        <v>0.923034274193548</v>
      </c>
      <c r="K45" s="17" t="n">
        <f aca="false">IFERROR(C45/I45,0)</f>
        <v>0.9016303616719</v>
      </c>
      <c r="L45" s="17" t="n">
        <f aca="false">IFERROR(E45/C45,0)</f>
        <v>0.97958682377601</v>
      </c>
      <c r="M45" s="18" t="n">
        <f aca="false">J45*K45*L45</f>
        <v>0.81524715193222</v>
      </c>
      <c r="N45" s="16" t="n">
        <f aca="false">SUMIFS('Raw Data'!$L$2:$L$1000,'Raw Data'!$A$2:$A$1000,"&gt;="&amp;$A45,'Raw Data'!$A$2:$A$1000,"&lt;"&amp;EDATE($A45,1))</f>
        <v>570880</v>
      </c>
      <c r="O45" s="20" t="n">
        <f aca="false">SUMPRODUCT(('Raw Data'!$A$2:$A$1000&gt;=$A45)*('Raw Data'!$A$2:$A$1000&lt;EDATE($A45,1))*('Raw Data'!$G$2:$G$1000-'Raw Data'!$H$2:$H$1000)*SUMIF($A$14:$A$21,'Raw Data'!$E$2:$E$1000,$C$14:$C$21))</f>
        <v>1727237.4</v>
      </c>
      <c r="P45" s="20" t="n">
        <f aca="false">SUMPRODUCT(('Raw Data'!$A$2:$A$1000&gt;=$A45)*('Raw Data'!$A$2:$A$1000&lt;EDATE($A45,1))*'Raw Data'!$L$2:$L$1000*'Raw Data'!$O$2:$O$1000)+SUMIFS('Raw Data'!$M$2:$M$1000,'Raw Data'!$A$2:$A$1000,"&gt;="&amp;$A45,'Raw Data'!$A$2:$A$1000,"&lt;"&amp;EDATE($A45,1))*$B$9+SUMIFS('Raw Data'!$N$2:$N$1000,'Raw Data'!$A$2:$A$1000,"&gt;="&amp;$A45,'Raw Data'!$A$2:$A$1000,"&lt;"&amp;EDATE($A45,1))*$B$10</f>
        <v>868290.09</v>
      </c>
      <c r="Q45" s="21" t="n">
        <f aca="false">O45-P45</f>
        <v>858947.31</v>
      </c>
      <c r="R45" s="17" t="n">
        <f aca="false">IFERROR(Q45/O45,0)</f>
        <v>0.497295455737584</v>
      </c>
      <c r="S45" s="11" t="str">
        <f aca="false">TEXT(A45,"mmm yyyy")</f>
        <v>Jul 2026</v>
      </c>
      <c r="T45" s="17" t="n">
        <f aca="false">$B$5</f>
        <v>0.85</v>
      </c>
    </row>
    <row r="46" customFormat="false" ht="15" hidden="false" customHeight="false" outlineLevel="0" collapsed="false">
      <c r="A46" s="32" t="n">
        <v>46235</v>
      </c>
      <c r="B46" s="16" t="n">
        <f aca="false">COUNTIFS('Raw Data'!$A$2:$A$1000,"&gt;="&amp;$A46,'Raw Data'!$A$2:$A$1000,"&lt;"&amp;EDATE($A46,1))</f>
        <v>124</v>
      </c>
      <c r="C46" s="16" t="n">
        <f aca="false">SUMIFS('Raw Data'!$G$2:$G$1000,'Raw Data'!$A$2:$A$1000,"&gt;="&amp;$A46,'Raw Data'!$A$2:$A$1000,"&lt;"&amp;EDATE($A46,1))</f>
        <v>554710</v>
      </c>
      <c r="D46" s="16" t="n">
        <f aca="false">SUMIFS('Raw Data'!$H$2:$H$1000,'Raw Data'!$A$2:$A$1000,"&gt;="&amp;$A46,'Raw Data'!$A$2:$A$1000,"&lt;"&amp;EDATE($A46,1))</f>
        <v>11102</v>
      </c>
      <c r="E46" s="16" t="n">
        <f aca="false">C46-D46</f>
        <v>543608</v>
      </c>
      <c r="F46" s="17" t="n">
        <f aca="false">IFERROR(D46/C46,0)</f>
        <v>0.020014061401453</v>
      </c>
      <c r="G46" s="16" t="n">
        <f aca="false">SUMIFS('Raw Data'!$I$2:$I$1000,'Raw Data'!$A$2:$A$1000,"&gt;="&amp;$A46,'Raw Data'!$A$2:$A$1000,"&lt;"&amp;EDATE($A46,1))</f>
        <v>59520</v>
      </c>
      <c r="H46" s="16" t="n">
        <f aca="false">SUMIFS('Raw Data'!$J$2:$J$1000,'Raw Data'!$A$2:$A$1000,"&gt;="&amp;$A46,'Raw Data'!$A$2:$A$1000,"&lt;"&amp;EDATE($A46,1))</f>
        <v>4846</v>
      </c>
      <c r="I46" s="16" t="n">
        <f aca="false">SUMPRODUCT(('Raw Data'!$A$2:$A$1000&gt;=$A46)*('Raw Data'!$A$2:$A$1000&lt;EDATE($A46,1))*('Raw Data'!$I$2:$I$1000-'Raw Data'!$J$2:$J$1000)*'Raw Data'!$K$2:$K$1000)</f>
        <v>612338</v>
      </c>
      <c r="J46" s="17" t="n">
        <f aca="false">IFERROR((G46-H46)/G46,0)</f>
        <v>0.918581989247312</v>
      </c>
      <c r="K46" s="17" t="n">
        <f aca="false">IFERROR(C46/I46,0)</f>
        <v>0.905888577876924</v>
      </c>
      <c r="L46" s="17" t="n">
        <f aca="false">IFERROR(E46/C46,0)</f>
        <v>0.979985938598547</v>
      </c>
      <c r="M46" s="18" t="n">
        <f aca="false">J46*K46*L46</f>
        <v>0.815478572309334</v>
      </c>
      <c r="N46" s="16" t="n">
        <f aca="false">SUMIFS('Raw Data'!$L$2:$L$1000,'Raw Data'!$A$2:$A$1000,"&gt;="&amp;$A46,'Raw Data'!$A$2:$A$1000,"&lt;"&amp;EDATE($A46,1))</f>
        <v>575867</v>
      </c>
      <c r="O46" s="20" t="n">
        <f aca="false">SUMPRODUCT(('Raw Data'!$A$2:$A$1000&gt;=$A46)*('Raw Data'!$A$2:$A$1000&lt;EDATE($A46,1))*('Raw Data'!$G$2:$G$1000-'Raw Data'!$H$2:$H$1000)*SUMIF($A$14:$A$21,'Raw Data'!$E$2:$E$1000,$C$14:$C$21))</f>
        <v>1725953.6</v>
      </c>
      <c r="P46" s="20" t="n">
        <f aca="false">SUMPRODUCT(('Raw Data'!$A$2:$A$1000&gt;=$A46)*('Raw Data'!$A$2:$A$1000&lt;EDATE($A46,1))*'Raw Data'!$L$2:$L$1000*'Raw Data'!$O$2:$O$1000)+SUMIFS('Raw Data'!$M$2:$M$1000,'Raw Data'!$A$2:$A$1000,"&gt;="&amp;$A46,'Raw Data'!$A$2:$A$1000,"&lt;"&amp;EDATE($A46,1))*$B$9+SUMIFS('Raw Data'!$N$2:$N$1000,'Raw Data'!$A$2:$A$1000,"&gt;="&amp;$A46,'Raw Data'!$A$2:$A$1000,"&lt;"&amp;EDATE($A46,1))*$B$10</f>
        <v>885898.49</v>
      </c>
      <c r="Q46" s="21" t="n">
        <f aca="false">O46-P46</f>
        <v>840055.11</v>
      </c>
      <c r="R46" s="17" t="n">
        <f aca="false">IFERROR(Q46/O46,0)</f>
        <v>0.48671940543477</v>
      </c>
      <c r="S46" s="11" t="str">
        <f aca="false">TEXT(A46,"mmm yyyy")</f>
        <v>Aug 2026</v>
      </c>
      <c r="T46" s="17" t="n">
        <f aca="false">$B$5</f>
        <v>0.85</v>
      </c>
    </row>
    <row r="47" customFormat="false" ht="15" hidden="false" customHeight="false" outlineLevel="0" collapsed="false">
      <c r="A47" s="32" t="n">
        <v>46266</v>
      </c>
      <c r="B47" s="16" t="n">
        <f aca="false">COUNTIFS('Raw Data'!$A$2:$A$1000,"&gt;="&amp;$A47,'Raw Data'!$A$2:$A$1000,"&lt;"&amp;EDATE($A47,1))</f>
        <v>120</v>
      </c>
      <c r="C47" s="16" t="n">
        <f aca="false">SUMIFS('Raw Data'!$G$2:$G$1000,'Raw Data'!$A$2:$A$1000,"&gt;="&amp;$A47,'Raw Data'!$A$2:$A$1000,"&lt;"&amp;EDATE($A47,1))</f>
        <v>531689</v>
      </c>
      <c r="D47" s="16" t="n">
        <f aca="false">SUMIFS('Raw Data'!$H$2:$H$1000,'Raw Data'!$A$2:$A$1000,"&gt;="&amp;$A47,'Raw Data'!$A$2:$A$1000,"&lt;"&amp;EDATE($A47,1))</f>
        <v>12008</v>
      </c>
      <c r="E47" s="16" t="n">
        <f aca="false">C47-D47</f>
        <v>519681</v>
      </c>
      <c r="F47" s="17" t="n">
        <f aca="false">IFERROR(D47/C47,0)</f>
        <v>0.0225846312411955</v>
      </c>
      <c r="G47" s="16" t="n">
        <f aca="false">SUMIFS('Raw Data'!$I$2:$I$1000,'Raw Data'!$A$2:$A$1000,"&gt;="&amp;$A47,'Raw Data'!$A$2:$A$1000,"&lt;"&amp;EDATE($A47,1))</f>
        <v>57600</v>
      </c>
      <c r="H47" s="16" t="n">
        <f aca="false">SUMIFS('Raw Data'!$J$2:$J$1000,'Raw Data'!$A$2:$A$1000,"&gt;="&amp;$A47,'Raw Data'!$A$2:$A$1000,"&lt;"&amp;EDATE($A47,1))</f>
        <v>4706</v>
      </c>
      <c r="I47" s="16" t="n">
        <f aca="false">SUMPRODUCT(('Raw Data'!$A$2:$A$1000&gt;=$A47)*('Raw Data'!$A$2:$A$1000&lt;EDATE($A47,1))*('Raw Data'!$I$2:$I$1000-'Raw Data'!$J$2:$J$1000)*'Raw Data'!$K$2:$K$1000)</f>
        <v>587658</v>
      </c>
      <c r="J47" s="17" t="n">
        <f aca="false">IFERROR((G47-H47)/G47,0)</f>
        <v>0.918298611111111</v>
      </c>
      <c r="K47" s="17" t="n">
        <f aca="false">IFERROR(C47/I47,0)</f>
        <v>0.904759230709018</v>
      </c>
      <c r="L47" s="17" t="n">
        <f aca="false">IFERROR(E47/C47,0)</f>
        <v>0.977415368758805</v>
      </c>
      <c r="M47" s="18" t="n">
        <f aca="false">J47*K47*L47</f>
        <v>0.812074949240601</v>
      </c>
      <c r="N47" s="16" t="n">
        <f aca="false">SUMIFS('Raw Data'!$L$2:$L$1000,'Raw Data'!$A$2:$A$1000,"&gt;="&amp;$A47,'Raw Data'!$A$2:$A$1000,"&lt;"&amp;EDATE($A47,1))</f>
        <v>550887</v>
      </c>
      <c r="O47" s="20" t="n">
        <f aca="false">SUMPRODUCT(('Raw Data'!$A$2:$A$1000&gt;=$A47)*('Raw Data'!$A$2:$A$1000&lt;EDATE($A47,1))*('Raw Data'!$G$2:$G$1000-'Raw Data'!$H$2:$H$1000)*SUMIF($A$14:$A$21,'Raw Data'!$E$2:$E$1000,$C$14:$C$21))</f>
        <v>1661071</v>
      </c>
      <c r="P47" s="20" t="n">
        <f aca="false">SUMPRODUCT(('Raw Data'!$A$2:$A$1000&gt;=$A47)*('Raw Data'!$A$2:$A$1000&lt;EDATE($A47,1))*'Raw Data'!$L$2:$L$1000*'Raw Data'!$O$2:$O$1000)+SUMIFS('Raw Data'!$M$2:$M$1000,'Raw Data'!$A$2:$A$1000,"&gt;="&amp;$A47,'Raw Data'!$A$2:$A$1000,"&lt;"&amp;EDATE($A47,1))*$B$9+SUMIFS('Raw Data'!$N$2:$N$1000,'Raw Data'!$A$2:$A$1000,"&gt;="&amp;$A47,'Raw Data'!$A$2:$A$1000,"&lt;"&amp;EDATE($A47,1))*$B$10</f>
        <v>876770.22</v>
      </c>
      <c r="Q47" s="21" t="n">
        <f aca="false">O47-P47</f>
        <v>784300.78</v>
      </c>
      <c r="R47" s="17" t="n">
        <f aca="false">IFERROR(Q47/O47,0)</f>
        <v>0.472165717178856</v>
      </c>
      <c r="S47" s="11" t="str">
        <f aca="false">TEXT(A47,"mmm yyyy")</f>
        <v>Sep 2026</v>
      </c>
      <c r="T47" s="17" t="n">
        <f aca="false">$B$5</f>
        <v>0.85</v>
      </c>
    </row>
    <row r="49" customFormat="false" ht="15" hidden="false" customHeight="false" outlineLevel="0" collapsed="false">
      <c r="A49" s="9" t="s">
        <v>458</v>
      </c>
      <c r="B49" s="10"/>
      <c r="C49" s="10"/>
      <c r="D49" s="10"/>
      <c r="E49" s="10"/>
    </row>
    <row r="50" customFormat="false" ht="42" hidden="false" customHeight="true" outlineLevel="0" collapsed="false">
      <c r="A50" s="2" t="s">
        <v>459</v>
      </c>
      <c r="B50" s="2" t="s">
        <v>9</v>
      </c>
      <c r="C50" s="2" t="s">
        <v>460</v>
      </c>
      <c r="D50" s="2" t="s">
        <v>461</v>
      </c>
      <c r="E50" s="2" t="s">
        <v>462</v>
      </c>
    </row>
    <row r="51" customFormat="false" ht="15" hidden="false" customHeight="false" outlineLevel="0" collapsed="false">
      <c r="A51" s="11" t="s">
        <v>21</v>
      </c>
      <c r="B51" s="16" t="n">
        <f aca="false">SUMIFS('Raw Data'!$J$2:$J$1000,'Raw Data'!$P$2:$P$1000,$A51)</f>
        <v>3339</v>
      </c>
      <c r="C51" s="17" t="n">
        <f aca="false">IFERROR(B51/$B$58,0)</f>
        <v>0.236255572065379</v>
      </c>
      <c r="D51" s="17" t="n">
        <f aca="false">SUM($C$51:C51)</f>
        <v>0.236255572065379</v>
      </c>
      <c r="E51" s="16" t="n">
        <f aca="false">COUNTIFS('Raw Data'!$P$2:$P$1000,$A51)</f>
        <v>72</v>
      </c>
    </row>
    <row r="52" customFormat="false" ht="15" hidden="false" customHeight="false" outlineLevel="0" collapsed="false">
      <c r="A52" s="11" t="s">
        <v>50</v>
      </c>
      <c r="B52" s="16" t="n">
        <f aca="false">SUMIFS('Raw Data'!$J$2:$J$1000,'Raw Data'!$P$2:$P$1000,$A52)</f>
        <v>3275</v>
      </c>
      <c r="C52" s="17" t="n">
        <f aca="false">IFERROR(B52/$B$58,0)</f>
        <v>0.231727163376495</v>
      </c>
      <c r="D52" s="17" t="n">
        <f aca="false">SUM($C$51:C52)</f>
        <v>0.467982735441874</v>
      </c>
      <c r="E52" s="16" t="n">
        <f aca="false">COUNTIFS('Raw Data'!$P$2:$P$1000,$A52)</f>
        <v>63</v>
      </c>
    </row>
    <row r="53" customFormat="false" ht="15" hidden="false" customHeight="false" outlineLevel="0" collapsed="false">
      <c r="A53" s="11" t="s">
        <v>27</v>
      </c>
      <c r="B53" s="16" t="n">
        <f aca="false">SUMIFS('Raw Data'!$J$2:$J$1000,'Raw Data'!$P$2:$P$1000,$A53)</f>
        <v>2838</v>
      </c>
      <c r="C53" s="17" t="n">
        <f aca="false">IFERROR(B53/$B$58,0)</f>
        <v>0.200806622797708</v>
      </c>
      <c r="D53" s="17" t="n">
        <f aca="false">SUM($C$51:C53)</f>
        <v>0.668789358239581</v>
      </c>
      <c r="E53" s="16" t="n">
        <f aca="false">COUNTIFS('Raw Data'!$P$2:$P$1000,$A53)</f>
        <v>51</v>
      </c>
    </row>
    <row r="54" customFormat="false" ht="15" hidden="false" customHeight="false" outlineLevel="0" collapsed="false">
      <c r="A54" s="11" t="s">
        <v>38</v>
      </c>
      <c r="B54" s="16" t="n">
        <f aca="false">SUMIFS('Raw Data'!$J$2:$J$1000,'Raw Data'!$P$2:$P$1000,$A54)</f>
        <v>1500</v>
      </c>
      <c r="C54" s="17" t="n">
        <f aca="false">IFERROR(B54/$B$58,0)</f>
        <v>0.106134578645723</v>
      </c>
      <c r="D54" s="17" t="n">
        <f aca="false">SUM($C$51:C54)</f>
        <v>0.774923936885304</v>
      </c>
      <c r="E54" s="16" t="n">
        <f aca="false">COUNTIFS('Raw Data'!$P$2:$P$1000,$A54)</f>
        <v>30</v>
      </c>
    </row>
    <row r="55" customFormat="false" ht="15" hidden="false" customHeight="false" outlineLevel="0" collapsed="false">
      <c r="A55" s="11" t="s">
        <v>55</v>
      </c>
      <c r="B55" s="16" t="n">
        <f aca="false">SUMIFS('Raw Data'!$J$2:$J$1000,'Raw Data'!$P$2:$P$1000,$A55)</f>
        <v>1347</v>
      </c>
      <c r="C55" s="17" t="n">
        <f aca="false">IFERROR(B55/$B$58,0)</f>
        <v>0.0953088516238591</v>
      </c>
      <c r="D55" s="17" t="n">
        <f aca="false">SUM($C$51:C55)</f>
        <v>0.870232788509163</v>
      </c>
      <c r="E55" s="16" t="n">
        <f aca="false">COUNTIFS('Raw Data'!$P$2:$P$1000,$A55)</f>
        <v>28</v>
      </c>
    </row>
    <row r="56" customFormat="false" ht="15" hidden="false" customHeight="false" outlineLevel="0" collapsed="false">
      <c r="A56" s="11" t="s">
        <v>69</v>
      </c>
      <c r="B56" s="16" t="n">
        <f aca="false">SUMIFS('Raw Data'!$J$2:$J$1000,'Raw Data'!$P$2:$P$1000,$A56)</f>
        <v>1038</v>
      </c>
      <c r="C56" s="17" t="n">
        <f aca="false">IFERROR(B56/$B$58,0)</f>
        <v>0.0734451284228402</v>
      </c>
      <c r="D56" s="17" t="n">
        <f aca="false">SUM($C$51:C56)</f>
        <v>0.943677916932003</v>
      </c>
      <c r="E56" s="16" t="n">
        <f aca="false">COUNTIFS('Raw Data'!$P$2:$P$1000,$A56)</f>
        <v>20</v>
      </c>
    </row>
    <row r="57" customFormat="false" ht="15" hidden="false" customHeight="false" outlineLevel="0" collapsed="false">
      <c r="A57" s="11" t="s">
        <v>65</v>
      </c>
      <c r="B57" s="16" t="n">
        <f aca="false">SUMIFS('Raw Data'!$J$2:$J$1000,'Raw Data'!$P$2:$P$1000,$A57)</f>
        <v>796</v>
      </c>
      <c r="C57" s="17" t="n">
        <f aca="false">IFERROR(B57/$B$58,0)</f>
        <v>0.0563220830679969</v>
      </c>
      <c r="D57" s="17" t="n">
        <f aca="false">SUM($C$51:C57)</f>
        <v>1</v>
      </c>
      <c r="E57" s="16" t="n">
        <f aca="false">COUNTIFS('Raw Data'!$P$2:$P$1000,$A57)</f>
        <v>15</v>
      </c>
    </row>
    <row r="58" customFormat="false" ht="15" hidden="false" customHeight="false" outlineLevel="0" collapsed="false">
      <c r="A58" s="23" t="s">
        <v>452</v>
      </c>
      <c r="B58" s="24" t="n">
        <f aca="false">SUM(B51:B57)</f>
        <v>14133</v>
      </c>
      <c r="C58" s="25" t="n">
        <f aca="false">SUM(C51:C57)</f>
        <v>1</v>
      </c>
      <c r="D58" s="33"/>
      <c r="E58" s="24" t="n">
        <f aca="false">SUM(E51:E57)</f>
        <v>279</v>
      </c>
    </row>
    <row r="60" customFormat="false" ht="15" hidden="false" customHeight="false" outlineLevel="0" collapsed="false">
      <c r="A60" s="9" t="s">
        <v>463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customFormat="false" ht="42" hidden="false" customHeight="true" outlineLevel="0" collapsed="false">
      <c r="A61" s="2" t="s">
        <v>2</v>
      </c>
      <c r="B61" s="2" t="s">
        <v>429</v>
      </c>
      <c r="C61" s="2" t="s">
        <v>431</v>
      </c>
      <c r="D61" s="2" t="s">
        <v>432</v>
      </c>
      <c r="E61" s="2" t="s">
        <v>434</v>
      </c>
      <c r="F61" s="2" t="s">
        <v>8</v>
      </c>
      <c r="G61" s="2" t="s">
        <v>9</v>
      </c>
      <c r="H61" s="2" t="s">
        <v>435</v>
      </c>
      <c r="I61" s="2" t="s">
        <v>436</v>
      </c>
      <c r="J61" s="2" t="s">
        <v>437</v>
      </c>
      <c r="K61" s="2" t="s">
        <v>438</v>
      </c>
      <c r="L61" s="2" t="s">
        <v>439</v>
      </c>
    </row>
    <row r="62" customFormat="false" ht="15" hidden="false" customHeight="false" outlineLevel="0" collapsed="false">
      <c r="A62" s="15" t="s">
        <v>18</v>
      </c>
      <c r="B62" s="16" t="n">
        <f aca="false">COUNTIFS('Raw Data'!$C$2:$C$1000,$A62)</f>
        <v>123</v>
      </c>
      <c r="C62" s="16" t="n">
        <f aca="false">SUMIFS('Raw Data'!$G$2:$G$1000,'Raw Data'!$C$2:$C$1000,$A62)</f>
        <v>549411</v>
      </c>
      <c r="D62" s="16" t="n">
        <f aca="false">SUMIFS('Raw Data'!$H$2:$H$1000,'Raw Data'!$C$2:$C$1000,$A62)</f>
        <v>10834</v>
      </c>
      <c r="E62" s="17" t="n">
        <f aca="false">IFERROR(D62/C62,0)</f>
        <v>0.0197192993951705</v>
      </c>
      <c r="F62" s="16" t="n">
        <f aca="false">SUMIFS('Raw Data'!$I$2:$I$1000,'Raw Data'!$C$2:$C$1000,$A62)</f>
        <v>59040</v>
      </c>
      <c r="G62" s="16" t="n">
        <f aca="false">SUMIFS('Raw Data'!$J$2:$J$1000,'Raw Data'!$C$2:$C$1000,$A62)</f>
        <v>4558</v>
      </c>
      <c r="H62" s="16" t="n">
        <f aca="false">SUMPRODUCT(('Raw Data'!$C$2:$C$1000=$A62)*('Raw Data'!$I$2:$I$1000-'Raw Data'!$J$2:$J$1000)*'Raw Data'!$K$2:$K$1000)</f>
        <v>605000</v>
      </c>
      <c r="I62" s="17" t="n">
        <f aca="false">IFERROR((F62-G62)/F62,0)</f>
        <v>0.92279810298103</v>
      </c>
      <c r="J62" s="17" t="n">
        <f aca="false">IFERROR(C62/H62,0)</f>
        <v>0.908117355371901</v>
      </c>
      <c r="K62" s="17" t="n">
        <f aca="false">IFERROR((C62-D62)/C62,0)</f>
        <v>0.98028070060483</v>
      </c>
      <c r="L62" s="18" t="n">
        <f aca="false">I62*J62*K62</f>
        <v>0.821484022990437</v>
      </c>
    </row>
    <row r="63" customFormat="false" ht="15" hidden="false" customHeight="false" outlineLevel="0" collapsed="false">
      <c r="A63" s="15" t="s">
        <v>24</v>
      </c>
      <c r="B63" s="16" t="n">
        <f aca="false">COUNTIFS('Raw Data'!$C$2:$C$1000,$A63)</f>
        <v>123</v>
      </c>
      <c r="C63" s="16" t="n">
        <f aca="false">SUMIFS('Raw Data'!$G$2:$G$1000,'Raw Data'!$C$2:$C$1000,$A63)</f>
        <v>546204</v>
      </c>
      <c r="D63" s="16" t="n">
        <f aca="false">SUMIFS('Raw Data'!$H$2:$H$1000,'Raw Data'!$C$2:$C$1000,$A63)</f>
        <v>10677</v>
      </c>
      <c r="E63" s="17" t="n">
        <f aca="false">IFERROR(D63/C63,0)</f>
        <v>0.0195476415405233</v>
      </c>
      <c r="F63" s="16" t="n">
        <f aca="false">SUMIFS('Raw Data'!$I$2:$I$1000,'Raw Data'!$C$2:$C$1000,$A63)</f>
        <v>59040</v>
      </c>
      <c r="G63" s="16" t="n">
        <f aca="false">SUMIFS('Raw Data'!$J$2:$J$1000,'Raw Data'!$C$2:$C$1000,$A63)</f>
        <v>4899</v>
      </c>
      <c r="H63" s="16" t="n">
        <f aca="false">SUMPRODUCT(('Raw Data'!$C$2:$C$1000=$A63)*('Raw Data'!$I$2:$I$1000-'Raw Data'!$J$2:$J$1000)*'Raw Data'!$K$2:$K$1000)</f>
        <v>597908</v>
      </c>
      <c r="I63" s="17" t="n">
        <f aca="false">IFERROR((F63-G63)/F63,0)</f>
        <v>0.917022357723577</v>
      </c>
      <c r="J63" s="17" t="n">
        <f aca="false">IFERROR(C63/H63,0)</f>
        <v>0.913525157716572</v>
      </c>
      <c r="K63" s="17" t="n">
        <f aca="false">IFERROR((C63-D63)/C63,0)</f>
        <v>0.980452358459477</v>
      </c>
      <c r="L63" s="18" t="n">
        <f aca="false">I63*J63*K63</f>
        <v>0.821347485172692</v>
      </c>
    </row>
    <row r="64" customFormat="false" ht="15" hidden="false" customHeight="false" outlineLevel="0" collapsed="false">
      <c r="A64" s="15" t="s">
        <v>29</v>
      </c>
      <c r="B64" s="16" t="n">
        <f aca="false">COUNTIFS('Raw Data'!$C$2:$C$1000,$A64)</f>
        <v>122</v>
      </c>
      <c r="C64" s="16" t="n">
        <f aca="false">SUMIFS('Raw Data'!$G$2:$G$1000,'Raw Data'!$C$2:$C$1000,$A64)</f>
        <v>540380</v>
      </c>
      <c r="D64" s="16" t="n">
        <f aca="false">SUMIFS('Raw Data'!$H$2:$H$1000,'Raw Data'!$C$2:$C$1000,$A64)</f>
        <v>12818</v>
      </c>
      <c r="E64" s="17" t="n">
        <f aca="false">IFERROR(D64/C64,0)</f>
        <v>0.0237203449424479</v>
      </c>
      <c r="F64" s="16" t="n">
        <f aca="false">SUMIFS('Raw Data'!$I$2:$I$1000,'Raw Data'!$C$2:$C$1000,$A64)</f>
        <v>58560</v>
      </c>
      <c r="G64" s="16" t="n">
        <f aca="false">SUMIFS('Raw Data'!$J$2:$J$1000,'Raw Data'!$C$2:$C$1000,$A64)</f>
        <v>4676</v>
      </c>
      <c r="H64" s="16" t="n">
        <f aca="false">SUMPRODUCT(('Raw Data'!$C$2:$C$1000=$A64)*('Raw Data'!$I$2:$I$1000-'Raw Data'!$J$2:$J$1000)*'Raw Data'!$K$2:$K$1000)</f>
        <v>606646</v>
      </c>
      <c r="I64" s="17" t="n">
        <f aca="false">IFERROR((F64-G64)/F64,0)</f>
        <v>0.920150273224044</v>
      </c>
      <c r="J64" s="17" t="n">
        <f aca="false">IFERROR(C64/H64,0)</f>
        <v>0.890766608532818</v>
      </c>
      <c r="K64" s="17" t="n">
        <f aca="false">IFERROR((C64-D64)/C64,0)</f>
        <v>0.976279655057552</v>
      </c>
      <c r="L64" s="18" t="n">
        <f aca="false">I64*J64*K64</f>
        <v>0.800197015133411</v>
      </c>
    </row>
    <row r="66" customFormat="false" ht="15" hidden="false" customHeight="false" outlineLevel="0" collapsed="false">
      <c r="A66" s="9" t="s">
        <v>464</v>
      </c>
      <c r="B66" s="10"/>
      <c r="C66" s="10"/>
    </row>
    <row r="67" customFormat="false" ht="42" hidden="false" customHeight="true" outlineLevel="0" collapsed="false">
      <c r="A67" s="2" t="s">
        <v>465</v>
      </c>
      <c r="B67" s="2" t="s">
        <v>466</v>
      </c>
    </row>
    <row r="68" customFormat="false" ht="15" hidden="false" customHeight="false" outlineLevel="0" collapsed="false">
      <c r="A68" s="11" t="s">
        <v>429</v>
      </c>
      <c r="B68" s="16" t="n">
        <f aca="false">SUMPRODUCT(((('Raw Data'!$D$2:$D$1000=Dashboard!$C$4)+(Dashboard!$C$4="All"))&gt;0)*('Raw Data'!$D$2:$D$1000&lt;&gt;""))</f>
        <v>368</v>
      </c>
    </row>
    <row r="69" customFormat="false" ht="15" hidden="false" customHeight="false" outlineLevel="0" collapsed="false">
      <c r="A69" s="11" t="s">
        <v>431</v>
      </c>
      <c r="B69" s="16" t="n">
        <f aca="false">SUMPRODUCT(((('Raw Data'!$D$2:$D$1000=Dashboard!$C$4)+(Dashboard!$C$4="All"))&gt;0)*'Raw Data'!$G$2:$G$1000)</f>
        <v>1635995</v>
      </c>
    </row>
    <row r="70" customFormat="false" ht="15" hidden="false" customHeight="false" outlineLevel="0" collapsed="false">
      <c r="A70" s="11" t="s">
        <v>432</v>
      </c>
      <c r="B70" s="16" t="n">
        <f aca="false">SUMPRODUCT(((('Raw Data'!$D$2:$D$1000=Dashboard!$C$4)+(Dashboard!$C$4="All"))&gt;0)*'Raw Data'!$H$2:$H$1000)</f>
        <v>34329</v>
      </c>
    </row>
    <row r="71" customFormat="false" ht="15" hidden="false" customHeight="false" outlineLevel="0" collapsed="false">
      <c r="A71" s="11" t="s">
        <v>433</v>
      </c>
      <c r="B71" s="16" t="n">
        <f aca="false">B69-B70</f>
        <v>1601666</v>
      </c>
    </row>
    <row r="72" customFormat="false" ht="15" hidden="false" customHeight="false" outlineLevel="0" collapsed="false">
      <c r="A72" s="11" t="s">
        <v>467</v>
      </c>
      <c r="B72" s="16" t="n">
        <f aca="false">SUMPRODUCT(((('Raw Data'!$D$2:$D$1000=Dashboard!$C$4)+(Dashboard!$C$4="All"))&gt;0)*'Raw Data'!$I$2:$I$1000)</f>
        <v>176640</v>
      </c>
    </row>
    <row r="73" customFormat="false" ht="15" hidden="false" customHeight="false" outlineLevel="0" collapsed="false">
      <c r="A73" s="11" t="s">
        <v>9</v>
      </c>
      <c r="B73" s="16" t="n">
        <f aca="false">SUMPRODUCT(((('Raw Data'!$D$2:$D$1000=Dashboard!$C$4)+(Dashboard!$C$4="All"))&gt;0)*'Raw Data'!$J$2:$J$1000)</f>
        <v>14133</v>
      </c>
    </row>
    <row r="74" customFormat="false" ht="15" hidden="false" customHeight="false" outlineLevel="0" collapsed="false">
      <c r="A74" s="11" t="s">
        <v>468</v>
      </c>
      <c r="B74" s="16" t="n">
        <f aca="false">SUMPRODUCT(((('Raw Data'!$D$2:$D$1000=Dashboard!$C$4)+(Dashboard!$C$4="All"))&gt;0)*('Raw Data'!$I$2:$I$1000-'Raw Data'!$J$2:$J$1000)*'Raw Data'!$K$2:$K$1000)</f>
        <v>1809554</v>
      </c>
    </row>
    <row r="75" customFormat="false" ht="15" hidden="false" customHeight="false" outlineLevel="0" collapsed="false">
      <c r="A75" s="11" t="s">
        <v>469</v>
      </c>
      <c r="B75" s="16" t="n">
        <f aca="false">SUMPRODUCT(((('Raw Data'!$D$2:$D$1000=Dashboard!$C$4)+(Dashboard!$C$4="All"))&gt;0)*'Raw Data'!$L$2:$L$1000)</f>
        <v>1697634</v>
      </c>
    </row>
    <row r="76" customFormat="false" ht="15" hidden="false" customHeight="false" outlineLevel="0" collapsed="false">
      <c r="A76" s="11" t="s">
        <v>441</v>
      </c>
      <c r="B76" s="20" t="n">
        <f aca="false">SUMPRODUCT(((('Raw Data'!$D$2:$D$1000=Dashboard!$C$4)+(Dashboard!$C$4="All"))&gt;0)*('Raw Data'!$G$2:$G$1000-'Raw Data'!$H$2:$H$1000)*SUMIF($A$14:$A$21,'Raw Data'!$E$2:$E$1000,$C$14:$C$21))</f>
        <v>5114262</v>
      </c>
    </row>
    <row r="77" customFormat="false" ht="15" hidden="false" customHeight="false" outlineLevel="0" collapsed="false">
      <c r="A77" s="11" t="s">
        <v>470</v>
      </c>
      <c r="B77" s="20" t="n">
        <f aca="false">SUMPRODUCT(((('Raw Data'!$D$2:$D$1000=Dashboard!$C$4)+(Dashboard!$C$4="All"))&gt;0)*'Raw Data'!$L$2:$L$1000*'Raw Data'!$O$2:$O$1000)+SUMPRODUCT(((('Raw Data'!$D$2:$D$1000=Dashboard!$C$4)+(Dashboard!$C$4="All"))&gt;0)*'Raw Data'!$M$2:$M$1000)*$B$9+SUMPRODUCT(((('Raw Data'!$D$2:$D$1000=Dashboard!$C$4)+(Dashboard!$C$4="All"))&gt;0)*'Raw Data'!$N$2:$N$1000)*$B$10</f>
        <v>2630958.8</v>
      </c>
    </row>
    <row r="78" customFormat="false" ht="15" hidden="false" customHeight="false" outlineLevel="0" collapsed="false">
      <c r="A78" s="11" t="s">
        <v>471</v>
      </c>
      <c r="B78" s="16" t="n">
        <f aca="false">SUMPRODUCT(((('Raw Data'!$D$2:$D$1000=Dashboard!$C$4)+(Dashboard!$C$4="All"))&gt;0)*('Raw Data'!$Q$2:$Q$1000="Fail"))</f>
        <v>2</v>
      </c>
    </row>
    <row r="79" customFormat="false" ht="15" hidden="false" customHeight="false" outlineLevel="0" collapsed="false">
      <c r="A79" s="11" t="s">
        <v>436</v>
      </c>
      <c r="B79" s="17" t="n">
        <f aca="false">IFERROR((B72-B73)/B72,0)</f>
        <v>0.919989809782609</v>
      </c>
    </row>
    <row r="80" customFormat="false" ht="15" hidden="false" customHeight="false" outlineLevel="0" collapsed="false">
      <c r="A80" s="11" t="s">
        <v>437</v>
      </c>
      <c r="B80" s="17" t="n">
        <f aca="false">IFERROR(B69/B74,0)</f>
        <v>0.904087416015217</v>
      </c>
    </row>
    <row r="81" customFormat="false" ht="15" hidden="false" customHeight="false" outlineLevel="0" collapsed="false">
      <c r="A81" s="11" t="s">
        <v>438</v>
      </c>
      <c r="B81" s="17" t="n">
        <f aca="false">IFERROR(B71/B69,0)</f>
        <v>0.979016439536796</v>
      </c>
    </row>
    <row r="82" customFormat="false" ht="15" hidden="false" customHeight="false" outlineLevel="0" collapsed="false">
      <c r="A82" s="11" t="s">
        <v>439</v>
      </c>
      <c r="B82" s="17" t="n">
        <f aca="false">B79*B80*B81</f>
        <v>0.814298108083689</v>
      </c>
    </row>
    <row r="83" customFormat="false" ht="15" hidden="false" customHeight="false" outlineLevel="0" collapsed="false">
      <c r="A83" s="11" t="s">
        <v>434</v>
      </c>
      <c r="B83" s="17" t="n">
        <f aca="false">IFERROR(B70/B69,0)</f>
        <v>0.0209835604632043</v>
      </c>
    </row>
    <row r="84" customFormat="false" ht="15" hidden="false" customHeight="false" outlineLevel="0" collapsed="false">
      <c r="A84" s="11" t="s">
        <v>472</v>
      </c>
      <c r="B84" s="21" t="n">
        <f aca="false">B76-B77</f>
        <v>2483303.2</v>
      </c>
    </row>
    <row r="85" customFormat="false" ht="15" hidden="false" customHeight="false" outlineLevel="0" collapsed="false">
      <c r="A85" s="11" t="s">
        <v>473</v>
      </c>
      <c r="B85" s="17" t="n">
        <f aca="false">IFERROR(B84/B76,0)</f>
        <v>0.485564329711696</v>
      </c>
    </row>
    <row r="86" customFormat="false" ht="15" hidden="false" customHeight="false" outlineLevel="0" collapsed="false">
      <c r="A86" s="11" t="s">
        <v>448</v>
      </c>
      <c r="B86" s="22" t="n">
        <f aca="false">IFERROR(B77/B71,0)</f>
        <v>1.64263885229505</v>
      </c>
    </row>
    <row r="87" customFormat="false" ht="15" hidden="false" customHeight="false" outlineLevel="0" collapsed="false">
      <c r="A87" s="11" t="s">
        <v>474</v>
      </c>
      <c r="B87" s="22" t="n">
        <f aca="false">IFERROR(B76/B71,0)</f>
        <v>3.19308894613484</v>
      </c>
    </row>
    <row r="88" customFormat="false" ht="15" hidden="false" customHeight="false" outlineLevel="0" collapsed="false">
      <c r="A88" s="11" t="s">
        <v>475</v>
      </c>
      <c r="B88" s="17" t="n">
        <f aca="false">IFERROR(B78/B68,0)</f>
        <v>0.00543478260869565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3"/>
    <col collapsed="false" customWidth="true" hidden="false" outlineLevel="0" max="14" min="14" style="1" width="2"/>
  </cols>
  <sheetData>
    <row r="1" customFormat="false" ht="37.5" hidden="false" customHeight="true" outlineLevel="0" collapsed="false">
      <c r="B1" s="34" t="s">
        <v>476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customFormat="false" ht="19.5" hidden="false" customHeight="true" outlineLevel="0" collapsed="false">
      <c r="B2" s="35" t="str">
        <f aca="false">"Reporting period: "&amp;TEXT(MIN('Raw Data'!$A$2:$A$1000),"dd mmm yyyy")&amp;" – "&amp;TEXT(MAX('Raw Data'!$A$2:$A$1000),"dd mmm yyyy")&amp;"   |   4 production lines · 8 products · "&amp;TEXT(Calculations!$B$29,"#,##0")&amp;" batches"</f>
        <v>Reporting period: 01 Jul 2026 – 30 Sep 2026   |   4 production lines · 8 products · 368 batches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customFormat="false" ht="15" hidden="false" customHeight="false" outlineLevel="0" collapsed="false">
      <c r="B4" s="36" t="s">
        <v>477</v>
      </c>
      <c r="C4" s="37" t="s">
        <v>478</v>
      </c>
      <c r="D4" s="8" t="s">
        <v>479</v>
      </c>
    </row>
    <row r="6" customFormat="false" ht="21.75" hidden="false" customHeight="true" outlineLevel="0" collapsed="false">
      <c r="B6" s="38" t="s">
        <v>480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customFormat="false" ht="24" hidden="false" customHeight="true" outlineLevel="0" collapsed="false">
      <c r="B7" s="39" t="str">
        <f aca="false">"For "&amp;IF($C$4="All","all lines","the "&amp;$C$4&amp;" line")&amp;", OEE was "&amp;TEXT(D13,"0.0%")&amp;" against a "&amp;TEXT(E13,"0%")&amp;" target ("&amp;IF(D13&gt;=E13,"above","below")&amp;" by "&amp;TEXT(ABS(D13-E13)*100,"0.0")&amp;" pts), with "&amp;CHOOSE(MATCH(MIN(Calculations!$B$79:$B$81),Calculations!$B$79:$B$81,0),"availability","performance","quality")&amp;" the weakest element. "&amp;"Rejects were "&amp;TEXT(D15,"0.0%")&amp;" of output and gross margin was "&amp;TEXT(D16,"0.0%")&amp;" ("&amp;TEXT(Calculations!$B$84,"$#,##0")&amp;" on "&amp;TEXT(Calculations!$B$76,"$#,##0")&amp;" revenue)."</f>
        <v>For all lines, OEE was 81.4% against a 85% target (below by 3.6 pts), with performance the weakest element. Rejects were 2.1% of output and gross margin was 48.6% ($2,483,303 on $5,114,262 revenue).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customFormat="false" ht="24" hidden="false" customHeight="true" outlineLevel="0" collapsed="false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customFormat="false" ht="24" hidden="false" customHeight="true" outlineLevel="0" collapsed="false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</row>
    <row r="11" customFormat="false" ht="21.75" hidden="false" customHeight="true" outlineLevel="0" collapsed="false">
      <c r="B11" s="38" t="s">
        <v>481</v>
      </c>
      <c r="C11" s="38"/>
      <c r="D11" s="38"/>
      <c r="E11" s="38"/>
      <c r="F11" s="38"/>
      <c r="G11" s="38"/>
      <c r="H11" s="38" t="s">
        <v>482</v>
      </c>
      <c r="I11" s="38"/>
      <c r="J11" s="38"/>
      <c r="K11" s="38"/>
      <c r="L11" s="38"/>
      <c r="M11" s="38"/>
    </row>
    <row r="12" customFormat="false" ht="15" hidden="false" customHeight="false" outlineLevel="0" collapsed="false">
      <c r="B12" s="40" t="s">
        <v>465</v>
      </c>
      <c r="C12" s="40"/>
      <c r="D12" s="41" t="s">
        <v>483</v>
      </c>
      <c r="E12" s="41" t="s">
        <v>484</v>
      </c>
      <c r="F12" s="41" t="s">
        <v>485</v>
      </c>
      <c r="G12" s="41" t="s">
        <v>486</v>
      </c>
      <c r="H12" s="42" t="s">
        <v>487</v>
      </c>
      <c r="I12" s="42"/>
      <c r="J12" s="42"/>
      <c r="K12" s="42"/>
      <c r="L12" s="42"/>
      <c r="M12" s="42"/>
    </row>
    <row r="13" customFormat="false" ht="21.75" hidden="false" customHeight="true" outlineLevel="0" collapsed="false">
      <c r="B13" s="43" t="s">
        <v>439</v>
      </c>
      <c r="C13" s="43"/>
      <c r="D13" s="44" t="n">
        <f aca="false">Calculations!$B$82</f>
        <v>0.814298108083689</v>
      </c>
      <c r="E13" s="45" t="n">
        <f aca="false">Calculations!$B$5</f>
        <v>0.85</v>
      </c>
      <c r="F13" s="46" t="n">
        <f aca="false">(D13-E13)*100</f>
        <v>-3.5701891916311</v>
      </c>
      <c r="G13" s="47" t="str">
        <f aca="false">IF(D13&gt;=E13,"● On target","● Off target")</f>
        <v>● Off target</v>
      </c>
      <c r="H13" s="48" t="str">
        <f aca="false">"▪  Lowest OEE: "&amp;INDEX(Calculations!$A$25:$A$28,MATCH(MIN(Calculations!$N$25:$N$28),Calculations!$N$25:$N$28,0))&amp;" line ("&amp;TEXT(MIN(Calculations!$N$25:$N$28),"0.0%")&amp;")"</f>
        <v>▪  Lowest OEE: Bakery line (79.6%)</v>
      </c>
      <c r="I13" s="48"/>
      <c r="J13" s="48"/>
      <c r="K13" s="48"/>
      <c r="L13" s="48"/>
      <c r="M13" s="48"/>
    </row>
    <row r="14" customFormat="false" ht="21.75" hidden="false" customHeight="true" outlineLevel="0" collapsed="false">
      <c r="B14" s="43" t="s">
        <v>470</v>
      </c>
      <c r="C14" s="43"/>
      <c r="D14" s="49" t="n">
        <f aca="false">Calculations!$B$77</f>
        <v>2630958.8</v>
      </c>
      <c r="E14" s="50" t="s">
        <v>488</v>
      </c>
      <c r="F14" s="50" t="s">
        <v>488</v>
      </c>
      <c r="G14" s="47" t="s">
        <v>488</v>
      </c>
      <c r="H14" s="48" t="str">
        <f aca="false">"▪  Weakest OEE element plant-wide: "&amp;INDEX(Calculations!$K$24:$M$24,MATCH(MIN(Calculations!$K$29:$M$29),Calculations!$K$29:$M$29,0))&amp;" ("&amp;TEXT(MIN(Calculations!$K$29:$M$29),"0.0%")&amp;")"</f>
        <v>▪  Weakest OEE element plant-wide: Performance (90.4%)</v>
      </c>
      <c r="I14" s="48"/>
      <c r="J14" s="48"/>
      <c r="K14" s="48"/>
      <c r="L14" s="48"/>
      <c r="M14" s="48"/>
    </row>
    <row r="15" customFormat="false" ht="21.75" hidden="false" customHeight="true" outlineLevel="0" collapsed="false">
      <c r="B15" s="43" t="s">
        <v>489</v>
      </c>
      <c r="C15" s="43"/>
      <c r="D15" s="44" t="n">
        <f aca="false">Calculations!$B$83</f>
        <v>0.0209835604632043</v>
      </c>
      <c r="E15" s="45" t="n">
        <f aca="false">Calculations!$B$6</f>
        <v>0.03</v>
      </c>
      <c r="F15" s="46" t="n">
        <f aca="false">(D15-E15)*100</f>
        <v>-0.901643953679565</v>
      </c>
      <c r="G15" s="47" t="str">
        <f aca="false">IF(D15&lt;=E15,"● On target","● Off target")</f>
        <v>● On target</v>
      </c>
      <c r="H15" s="48" t="str">
        <f aca="false">"▪  Top downtime cause: "&amp;INDEX(Calculations!$A$51:$A$57,MATCH(MAX(Calculations!$B$51:$B$57),Calculations!$B$51:$B$57,0))&amp;" ("&amp;TEXT(MAX(Calculations!$C$51:$C$57),"0%")&amp;" of lost minutes)"</f>
        <v>▪  Top downtime cause: Changeover (24% of lost minutes)</v>
      </c>
      <c r="I15" s="48"/>
      <c r="J15" s="48"/>
      <c r="K15" s="48"/>
      <c r="L15" s="48"/>
      <c r="M15" s="48"/>
    </row>
    <row r="16" customFormat="false" ht="21.75" hidden="false" customHeight="true" outlineLevel="0" collapsed="false">
      <c r="B16" s="43" t="s">
        <v>473</v>
      </c>
      <c r="C16" s="43"/>
      <c r="D16" s="44" t="n">
        <f aca="false">Calculations!$B$85</f>
        <v>0.485564329711696</v>
      </c>
      <c r="E16" s="45" t="n">
        <f aca="false">Calculations!$B$8</f>
        <v>0.3</v>
      </c>
      <c r="F16" s="46" t="n">
        <f aca="false">(D16-E16)*100</f>
        <v>18.5564329711696</v>
      </c>
      <c r="G16" s="47" t="str">
        <f aca="false">IF(D16&gt;=E16,"● On target","● Off target")</f>
        <v>● On target</v>
      </c>
      <c r="H16" s="48" t="str">
        <f aca="false">"▪  Highest reject rate: "&amp;INDEX(Calculations!$A$25:$A$28,MATCH(MAX(Calculations!$G$25:$G$28),Calculations!$G$25:$G$28,0))&amp;" line ("&amp;TEXT(MAX(Calculations!$G$25:$G$28),"0.0%")&amp;")"</f>
        <v>▪  Highest reject rate: Frozen line (3.9%)</v>
      </c>
      <c r="I16" s="48"/>
      <c r="J16" s="48"/>
      <c r="K16" s="48"/>
      <c r="L16" s="48"/>
      <c r="M16" s="48"/>
    </row>
    <row r="17" customFormat="false" ht="21.75" hidden="false" customHeight="true" outlineLevel="0" collapsed="false">
      <c r="B17" s="43" t="s">
        <v>490</v>
      </c>
      <c r="C17" s="43"/>
      <c r="D17" s="44" t="n">
        <f aca="false">Calculations!$B$88</f>
        <v>0.00543478260869565</v>
      </c>
      <c r="E17" s="45" t="n">
        <f aca="false">Calculations!$B$7</f>
        <v>0.01</v>
      </c>
      <c r="F17" s="46" t="n">
        <f aca="false">(D17-E17)*100</f>
        <v>-0.456521739130435</v>
      </c>
      <c r="G17" s="47" t="str">
        <f aca="false">IF(D17&lt;=E17,"● On target","● Off target")</f>
        <v>● On target</v>
      </c>
      <c r="H17" s="48" t="str">
        <f aca="false">"▪  Most profitable product: "&amp;INDEX(Calculations!$A$33:$A$40,MATCH(MAX(Calculations!$P$33:$P$40),Calculations!$P$33:$P$40,0))&amp;" ("&amp;TEXT(MAX(Calculations!$P$33:$P$40),"0.0%")&amp;" margin)"</f>
        <v>▪  Most profitable product: Soda (55.7% margin)</v>
      </c>
      <c r="I17" s="48"/>
      <c r="J17" s="48"/>
      <c r="K17" s="48"/>
      <c r="L17" s="48"/>
      <c r="M17" s="48"/>
    </row>
    <row r="18" customFormat="false" ht="21.75" hidden="false" customHeight="true" outlineLevel="0" collapsed="false">
      <c r="B18" s="43" t="s">
        <v>491</v>
      </c>
      <c r="C18" s="43"/>
      <c r="D18" s="51" t="n">
        <f aca="false">Calculations!$B$86</f>
        <v>1.64263885229505</v>
      </c>
      <c r="E18" s="50" t="s">
        <v>488</v>
      </c>
      <c r="F18" s="50" t="s">
        <v>488</v>
      </c>
      <c r="G18" s="47" t="s">
        <v>488</v>
      </c>
      <c r="H18" s="48" t="str">
        <f aca="false">"▪  Least profitable product: "&amp;INDEX(Calculations!$A$33:$A$40,MATCH(MIN(Calculations!$P$33:$P$40),Calculations!$P$33:$P$40,0))&amp;" ("&amp;TEXT(MIN(Calculations!$P$33:$P$40),"0.0%")&amp;" margin)"</f>
        <v>▪  Least profitable product: Cheese (40.3% margin)</v>
      </c>
      <c r="I18" s="48"/>
      <c r="J18" s="48"/>
      <c r="K18" s="48"/>
      <c r="L18" s="48"/>
      <c r="M18" s="48"/>
    </row>
    <row r="19" customFormat="false" ht="21.75" hidden="false" customHeight="true" outlineLevel="0" collapsed="false">
      <c r="B19" s="43" t="s">
        <v>472</v>
      </c>
      <c r="C19" s="43"/>
      <c r="D19" s="49" t="n">
        <f aca="false">Calculations!$B$84</f>
        <v>2483303.2</v>
      </c>
      <c r="E19" s="50" t="s">
        <v>488</v>
      </c>
      <c r="F19" s="50" t="s">
        <v>488</v>
      </c>
      <c r="G19" s="47" t="s">
        <v>488</v>
      </c>
      <c r="H19" s="48" t="str">
        <f aca="false">"▪  Rejected product: "&amp;TEXT(Calculations!$E$29,"#,##0")&amp;" kg (≈ "&amp;TEXT(Calculations!$E$29*Calculations!$Z$29,"$#,##0")&amp;" at cost)"</f>
        <v>▪  Rejected product: 34,329 kg (≈ $56,390 at cost)</v>
      </c>
      <c r="I19" s="48"/>
      <c r="J19" s="48"/>
      <c r="K19" s="48"/>
      <c r="L19" s="48"/>
      <c r="M19" s="48"/>
    </row>
    <row r="21" customFormat="false" ht="21.75" hidden="false" customHeight="true" outlineLevel="0" collapsed="false">
      <c r="B21" s="38" t="s">
        <v>492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customFormat="false" ht="30" hidden="false" customHeight="true" outlineLevel="0" collapsed="false">
      <c r="B22" s="2" t="s">
        <v>3</v>
      </c>
      <c r="C22" s="2" t="s">
        <v>439</v>
      </c>
      <c r="D22" s="2" t="s">
        <v>493</v>
      </c>
      <c r="E22" s="2" t="s">
        <v>436</v>
      </c>
      <c r="F22" s="2" t="s">
        <v>437</v>
      </c>
      <c r="G22" s="2" t="s">
        <v>438</v>
      </c>
      <c r="H22" s="2" t="s">
        <v>445</v>
      </c>
      <c r="I22" s="2" t="s">
        <v>434</v>
      </c>
      <c r="J22" s="2" t="s">
        <v>447</v>
      </c>
      <c r="K22" s="2" t="s">
        <v>494</v>
      </c>
      <c r="L22" s="2" t="s">
        <v>450</v>
      </c>
      <c r="M22" s="2" t="s">
        <v>495</v>
      </c>
    </row>
    <row r="23" customFormat="false" ht="15" hidden="false" customHeight="false" outlineLevel="0" collapsed="false">
      <c r="B23" s="52" t="str">
        <f aca="false">Calculations!A25</f>
        <v>Bakery</v>
      </c>
      <c r="C23" s="53" t="n">
        <f aca="false">Calculations!N25</f>
        <v>0.795633807545346</v>
      </c>
      <c r="D23" s="54" t="n">
        <f aca="false">(C23-Calculations!$B$5)*100</f>
        <v>-5.43661924546545</v>
      </c>
      <c r="E23" s="53" t="n">
        <f aca="false">Calculations!K25</f>
        <v>0.905321557971015</v>
      </c>
      <c r="F23" s="53" t="n">
        <f aca="false">Calculations!L25</f>
        <v>0.902362141487557</v>
      </c>
      <c r="G23" s="53" t="n">
        <f aca="false">Calculations!M25</f>
        <v>0.973933939279317</v>
      </c>
      <c r="H23" s="49" t="n">
        <f aca="false">Calculations!$W$25</f>
        <v>522591.24</v>
      </c>
      <c r="I23" s="53" t="n">
        <f aca="false">Calculations!G25</f>
        <v>0.0260660607206826</v>
      </c>
      <c r="J23" s="53" t="n">
        <f aca="false">Calculations!Y25</f>
        <v>0.489007372849585</v>
      </c>
      <c r="K23" s="55" t="n">
        <f aca="false">Calculations!Z25</f>
        <v>1.98982317463219</v>
      </c>
      <c r="L23" s="53" t="n">
        <f aca="false">Calculations!AB25</f>
        <v>0</v>
      </c>
      <c r="M23" s="56" t="str">
        <f aca="false">IF(C23&gt;=Calculations!$B$5,"● On target","● Below target")</f>
        <v>● Below target</v>
      </c>
    </row>
    <row r="24" customFormat="false" ht="15" hidden="false" customHeight="false" outlineLevel="0" collapsed="false">
      <c r="B24" s="52" t="str">
        <f aca="false">Calculations!A26</f>
        <v>Dairy</v>
      </c>
      <c r="C24" s="53" t="n">
        <f aca="false">Calculations!N26</f>
        <v>0.808110501067346</v>
      </c>
      <c r="D24" s="54" t="n">
        <f aca="false">(C24-Calculations!$B$5)*100</f>
        <v>-4.18894989326545</v>
      </c>
      <c r="E24" s="53" t="n">
        <f aca="false">Calculations!K26</f>
        <v>0.914741847826087</v>
      </c>
      <c r="F24" s="53" t="n">
        <f aca="false">Calculations!L26</f>
        <v>0.904313864175012</v>
      </c>
      <c r="G24" s="53" t="n">
        <f aca="false">Calculations!M26</f>
        <v>0.976906531828988</v>
      </c>
      <c r="H24" s="57" t="n">
        <f aca="false">Calculations!$W$26</f>
        <v>754544.91</v>
      </c>
      <c r="I24" s="53" t="n">
        <f aca="false">Calculations!G26</f>
        <v>0.0230934681710124</v>
      </c>
      <c r="J24" s="53" t="n">
        <f aca="false">Calculations!Y26</f>
        <v>0.445584706895987</v>
      </c>
      <c r="K24" s="55" t="n">
        <f aca="false">Calculations!Z26</f>
        <v>2.64958058705171</v>
      </c>
      <c r="L24" s="53" t="n">
        <f aca="false">Calculations!AB26</f>
        <v>0.0108695652173913</v>
      </c>
      <c r="M24" s="56" t="str">
        <f aca="false">IF(C24&gt;=Calculations!$B$5,"● On target","● Below target")</f>
        <v>● Below target</v>
      </c>
    </row>
    <row r="25" customFormat="false" ht="15" hidden="false" customHeight="false" outlineLevel="0" collapsed="false">
      <c r="B25" s="52" t="str">
        <f aca="false">Calculations!A27</f>
        <v>Beverage</v>
      </c>
      <c r="C25" s="53" t="n">
        <f aca="false">Calculations!N27</f>
        <v>0.824139469936458</v>
      </c>
      <c r="D25" s="54" t="n">
        <f aca="false">(C25-Calculations!$B$5)*100</f>
        <v>-2.58605300635418</v>
      </c>
      <c r="E25" s="53" t="n">
        <f aca="false">Calculations!K27</f>
        <v>0.923890398550725</v>
      </c>
      <c r="F25" s="53" t="n">
        <f aca="false">Calculations!L27</f>
        <v>0.904088094797663</v>
      </c>
      <c r="G25" s="53" t="n">
        <f aca="false">Calculations!M27</f>
        <v>0.986664516299861</v>
      </c>
      <c r="H25" s="57" t="n">
        <f aca="false">Calculations!$W$27</f>
        <v>583671.72</v>
      </c>
      <c r="I25" s="53" t="n">
        <f aca="false">Calculations!G27</f>
        <v>0.0133354837001394</v>
      </c>
      <c r="J25" s="53" t="n">
        <f aca="false">Calculations!Y27</f>
        <v>0.527413743768919</v>
      </c>
      <c r="K25" s="55" t="n">
        <f aca="false">Calculations!Z27</f>
        <v>0.711980590056429</v>
      </c>
      <c r="L25" s="53" t="n">
        <f aca="false">Calculations!AB27</f>
        <v>0.0108695652173913</v>
      </c>
      <c r="M25" s="56" t="str">
        <f aca="false">IF(C25&gt;=Calculations!$B$5,"● On target","● Below target")</f>
        <v>● Below target</v>
      </c>
    </row>
    <row r="26" customFormat="false" ht="15" hidden="false" customHeight="false" outlineLevel="0" collapsed="false">
      <c r="B26" s="52" t="str">
        <f aca="false">Calculations!A28</f>
        <v>Frozen</v>
      </c>
      <c r="C26" s="53" t="n">
        <f aca="false">Calculations!N28</f>
        <v>0.814795147886361</v>
      </c>
      <c r="D26" s="54" t="n">
        <f aca="false">(C26-Calculations!$B$5)*100</f>
        <v>-3.52048521136389</v>
      </c>
      <c r="E26" s="53" t="n">
        <f aca="false">Calculations!K28</f>
        <v>0.936005434782609</v>
      </c>
      <c r="F26" s="53" t="n">
        <f aca="false">Calculations!L28</f>
        <v>0.905728255905906</v>
      </c>
      <c r="G26" s="53" t="n">
        <f aca="false">Calculations!M28</f>
        <v>0.961107900162734</v>
      </c>
      <c r="H26" s="57" t="n">
        <f aca="false">Calculations!$W$28</f>
        <v>770150.93</v>
      </c>
      <c r="I26" s="53" t="n">
        <f aca="false">Calculations!G28</f>
        <v>0.0388920998372664</v>
      </c>
      <c r="J26" s="53" t="n">
        <f aca="false">Calculations!Y28</f>
        <v>0.485031784697208</v>
      </c>
      <c r="K26" s="55" t="n">
        <f aca="false">Calculations!Z28</f>
        <v>3.28465993372258</v>
      </c>
      <c r="L26" s="53" t="n">
        <f aca="false">Calculations!AB28</f>
        <v>0</v>
      </c>
      <c r="M26" s="56" t="str">
        <f aca="false">IF(C26&gt;=Calculations!$B$5,"● On target","● Below target")</f>
        <v>● Below target</v>
      </c>
    </row>
    <row r="27" customFormat="false" ht="15" hidden="false" customHeight="false" outlineLevel="0" collapsed="false">
      <c r="B27" s="58" t="str">
        <f aca="false">Calculations!A29</f>
        <v>Total</v>
      </c>
      <c r="C27" s="59" t="n">
        <f aca="false">Calculations!N29</f>
        <v>0.814298108083689</v>
      </c>
      <c r="D27" s="60" t="n">
        <f aca="false">(C27-Calculations!$B$5)*100</f>
        <v>-3.5701891916311</v>
      </c>
      <c r="E27" s="59" t="n">
        <f aca="false">Calculations!K29</f>
        <v>0.919989809782609</v>
      </c>
      <c r="F27" s="59" t="n">
        <f aca="false">Calculations!L29</f>
        <v>0.904087416015217</v>
      </c>
      <c r="G27" s="59" t="n">
        <f aca="false">Calculations!M29</f>
        <v>0.979016439536796</v>
      </c>
      <c r="H27" s="61" t="n">
        <f aca="false">Calculations!$W$29</f>
        <v>2630958.8</v>
      </c>
      <c r="I27" s="59" t="n">
        <f aca="false">Calculations!G29</f>
        <v>0.0209835604632043</v>
      </c>
      <c r="J27" s="59" t="n">
        <f aca="false">Calculations!Y29</f>
        <v>0.485564329711696</v>
      </c>
      <c r="K27" s="62" t="n">
        <f aca="false">Calculations!Z29</f>
        <v>1.64263885229505</v>
      </c>
      <c r="L27" s="59" t="n">
        <f aca="false">Calculations!AB29</f>
        <v>0.00543478260869565</v>
      </c>
      <c r="M27" s="63" t="str">
        <f aca="false">IF(C27&gt;=Calculations!$B$5,"● On target","● Below target")</f>
        <v>● Below target</v>
      </c>
    </row>
    <row r="29" customFormat="false" ht="21.75" hidden="false" customHeight="true" outlineLevel="0" collapsed="false">
      <c r="B29" s="38" t="s">
        <v>496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62" customFormat="false" ht="21.75" hidden="false" customHeight="true" outlineLevel="0" collapsed="false">
      <c r="B62" s="38" t="s">
        <v>497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customFormat="false" ht="24" hidden="false" customHeight="true" outlineLevel="0" collapsed="false">
      <c r="B63" s="64" t="str">
        <f aca="false">"1.  Run a root-cause review of "&amp;LOWER(INDEX(Calculations!$A$51:$A$57,MATCH(MAX(Calculations!$B$51:$B$57),Calculations!$B$51:$B$57,0)))&amp;" – the largest source of lost time ("&amp;TEXT(MAX(Calculations!$C$51:$C$57),"0%")&amp;" of downtime minutes)."</f>
        <v>1.  Run a root-cause review of changeover – the largest source of lost time (24% of downtime minutes).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</row>
    <row r="64" customFormat="false" ht="24" hidden="false" customHeight="true" outlineLevel="0" collapsed="false">
      <c r="B64" s="64" t="str">
        <f aca="false">"2.  Investigate quality losses on the "&amp;INDEX(Calculations!$A$25:$A$28,MATCH(MAX(Calculations!$G$25:$G$28),Calculations!$G$25:$G$28,0))&amp;" line: reject rate "&amp;TEXT(MAX(Calculations!$G$25:$G$28),"0.0%")&amp;" vs a "&amp;TEXT(Calculations!$B$6,"0.0%")&amp;" limit ("&amp;TEXT(Calculations!$E$29,"#,##0")&amp;" kg rejected plant-wide)."</f>
        <v>2.  Investigate quality losses on the Frozen line: reject rate 3.9% vs a 3.0% limit (34,329 kg rejected plant-wide).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</row>
    <row r="65" customFormat="false" ht="24" hidden="false" customHeight="true" outlineLevel="0" collapsed="false">
      <c r="B65" s="64" t="str">
        <f aca="false">"3.  Close the "&amp;LOWER(INDEX(Calculations!$K$24:$M$24,MATCH(MIN(Calculations!$K$29:$M$29),Calculations!$K$29:$M$29,0)))&amp;" gap, starting with "&amp;INDEX(Calculations!$A$25:$A$28,MATCH(MIN(Calculations!$N$25:$N$28),Calculations!$N$25:$N$28,0))&amp;" (OEE "&amp;TEXT(MIN(Calculations!$N$25:$N$28),"0.0%")&amp;" vs "&amp;TEXT(Calculations!$B$5,"0%")&amp;" target)."</f>
        <v>3.  Close the performance gap, starting with Bakery (OEE 79.6% vs 85% target).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</row>
    <row r="67" customFormat="false" ht="25.5" hidden="false" customHeight="true" outlineLevel="0" collapsed="false">
      <c r="B67" s="65" t="s">
        <v>498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</row>
  </sheetData>
  <mergeCells count="29">
    <mergeCell ref="B1:M1"/>
    <mergeCell ref="B2:M2"/>
    <mergeCell ref="B6:M6"/>
    <mergeCell ref="B7:M9"/>
    <mergeCell ref="B11:G11"/>
    <mergeCell ref="H11:M11"/>
    <mergeCell ref="B12:C12"/>
    <mergeCell ref="H12:M12"/>
    <mergeCell ref="B13:C13"/>
    <mergeCell ref="H13:M13"/>
    <mergeCell ref="B14:C14"/>
    <mergeCell ref="H14:M14"/>
    <mergeCell ref="B15:C15"/>
    <mergeCell ref="H15:M15"/>
    <mergeCell ref="B16:C16"/>
    <mergeCell ref="H16:M16"/>
    <mergeCell ref="B17:C17"/>
    <mergeCell ref="H17:M17"/>
    <mergeCell ref="B18:C18"/>
    <mergeCell ref="H18:M18"/>
    <mergeCell ref="B19:C19"/>
    <mergeCell ref="H19:M19"/>
    <mergeCell ref="B21:M21"/>
    <mergeCell ref="B29:M29"/>
    <mergeCell ref="B62:M62"/>
    <mergeCell ref="B63:M63"/>
    <mergeCell ref="B64:M64"/>
    <mergeCell ref="B65:M65"/>
    <mergeCell ref="B67:M67"/>
  </mergeCells>
  <conditionalFormatting sqref="G13:G19">
    <cfRule type="expression" priority="2" aboveAverage="0" equalAverage="0" bottom="0" percent="0" rank="0" text="" dxfId="3">
      <formula>ISNUMBER(SEARCH("On target",G13))</formula>
    </cfRule>
    <cfRule type="expression" priority="3" aboveAverage="0" equalAverage="0" bottom="0" percent="0" rank="0" text="" dxfId="4">
      <formula>ISNUMBER(SEARCH("Off target",G13))</formula>
    </cfRule>
  </conditionalFormatting>
  <conditionalFormatting sqref="C23:C26">
    <cfRule type="dataBar" priority="4">
      <dataBar showValue="1" minLength="10" maxLength="90">
        <cfvo type="num" val="0.6"/>
        <cfvo type="num" val="1"/>
        <color rgb="FF5B9BD5"/>
      </dataBar>
      <extLst>
        <ext xmlns:x14="http://schemas.microsoft.com/office/spreadsheetml/2009/9/main" uri="{B025F937-C7B1-47D3-B67F-A62EFF666E3E}">
          <x14:id>{F190BD6C-B5FA-4371-B7E6-E630B7DFCE1F}</x14:id>
        </ext>
      </extLst>
    </cfRule>
  </conditionalFormatting>
  <conditionalFormatting sqref="M23:M27">
    <cfRule type="expression" priority="5" aboveAverage="0" equalAverage="0" bottom="0" percent="0" rank="0" text="" dxfId="3">
      <formula>ISNUMBER(SEARCH("On target",M23))</formula>
    </cfRule>
    <cfRule type="expression" priority="6" aboveAverage="0" equalAverage="0" bottom="0" percent="0" rank="0" text="" dxfId="4">
      <formula>ISNUMBER(SEARCH("Below",M23))</formula>
    </cfRule>
  </conditionalFormatting>
  <conditionalFormatting sqref="I23:I27">
    <cfRule type="cellIs" priority="7" operator="greaterThan" aboveAverage="0" equalAverage="0" bottom="0" percent="0" rank="0" text="" dxfId="4">
      <formula>Calculations!$B$6</formula>
    </cfRule>
  </conditionalFormatting>
  <conditionalFormatting sqref="D23:D27">
    <cfRule type="cellIs" priority="8" operator="lessThan" aboveAverage="0" equalAverage="0" bottom="0" percent="0" rank="0" text="" dxfId="4">
      <formula>0</formula>
    </cfRule>
  </conditionalFormatting>
  <dataValidations count="1">
    <dataValidation allowBlank="false" errorStyle="stop" operator="between" showDropDown="false" showErrorMessage="false" showInputMessage="false" sqref="C4" type="list">
      <formula1>"All,Bakery,Dairy,Beverage,Frozen"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90BD6C-B5FA-4371-B7E6-E630B7DFCE1F}">
            <x14:dataBar minLength="10" maxLength="90" axisPosition="none" gradient="true">
              <x14:cfvo type="num">
                <xm:f>0.6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C23:C26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2026-10-11T07:22:04Z</dcterms:created>
  <dc:creator>openpyxl</dc:creator>
  <dc:description/>
  <dc:language>en-US</dc:language>
  <cp:lastModifiedBy/>
  <dcterms:modified xsi:type="dcterms:W3CDTF">2026-10-11T09:55:15Z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